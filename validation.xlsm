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1" autoCompressPictures="0"/>
  <mc:AlternateContent xmlns:mc="http://schemas.openxmlformats.org/markup-compatibility/2006">
    <mc:Choice Requires="x15">
      <x15ac:absPath xmlns:x15ac="http://schemas.microsoft.com/office/spreadsheetml/2010/11/ac" url="C:\Users\Stephen\Projects\Java\vle-simulator\"/>
    </mc:Choice>
  </mc:AlternateContent>
  <xr:revisionPtr revIDLastSave="0" documentId="13_ncr:1_{49EE8810-C0B7-4D7F-8952-9500FDC8713A}" xr6:coauthVersionLast="47" xr6:coauthVersionMax="47" xr10:uidLastSave="{00000000-0000-0000-0000-000000000000}"/>
  <bookViews>
    <workbookView xWindow="-108" yWindow="-108" windowWidth="23256" windowHeight="13176" tabRatio="618" activeTab="8" xr2:uid="{00000000-000D-0000-FFFF-FFFF00000000}"/>
  </bookViews>
  <sheets>
    <sheet name="Settings" sheetId="1" r:id="rId1"/>
    <sheet name="Wilson" sheetId="8" state="hidden" r:id="rId2"/>
    <sheet name="Wilson BPDP" sheetId="11" state="hidden" r:id="rId3"/>
    <sheet name="PREOS(bP-dP)" sheetId="13" state="hidden" r:id="rId4"/>
    <sheet name="CASE 1 - EB" sheetId="15" r:id="rId5"/>
    <sheet name="CASE 2 - EB" sheetId="16" r:id="rId6"/>
    <sheet name="Case 3 - EB" sheetId="14" r:id="rId7"/>
    <sheet name="Peng Robinson" sheetId="2" r:id="rId8"/>
    <sheet name="BIP Calc" sheetId="5" r:id="rId9"/>
    <sheet name="BIP Values" sheetId="6" state="hidden" r:id="rId10"/>
    <sheet name="BIP Values Set" sheetId="12" state="hidden" r:id="rId11"/>
    <sheet name="BIP Constants" sheetId="4" state="hidden" r:id="rId12"/>
    <sheet name="Appendix" sheetId="7" state="hidden" r:id="rId13"/>
  </sheets>
  <functionGroups builtInGroupCount="19"/>
  <definedNames>
    <definedName name="A_BIPC">'BIP Constants'!$B$3:$Y$26</definedName>
    <definedName name="a_iVal">'Peng Robinson'!$AB$7:$AB$29</definedName>
    <definedName name="a_iVal2">'PREOS(bP-dP)'!$N$7:$N$16</definedName>
    <definedName name="a_iVal3">'PREOS(bP-dP)'!$N$28:$N$37</definedName>
    <definedName name="alphaVal">'BIP Calc'!$AA$4:$AX$9</definedName>
    <definedName name="AlphaVal2">'BIP Calc'!$AA$4:$AX$36</definedName>
    <definedName name="aT">'BIP Calc'!$BA$4:$BA$9</definedName>
    <definedName name="aTVal">'BIP Calc'!$BA$4:$BA$25</definedName>
    <definedName name="B_BIPC">'BIP Constants'!$AB$3:$AY$26</definedName>
    <definedName name="b_iVal">'Peng Robinson'!$AC$7:$AC$29</definedName>
    <definedName name="b_iVal2">'PREOS(bP-dP)'!$O$7:$O$16</definedName>
    <definedName name="b_iVal3">'PREOS(bP-dP)'!$O$28:$O$37</definedName>
    <definedName name="BIPset">'BIP Values Set'!$B$2:$S$19</definedName>
    <definedName name="C_BIPC">'BIP Constants'!$BB$4:$BB$27</definedName>
    <definedName name="Chem2">'PREOS(bP-dP)'!$B$7:$B$16</definedName>
    <definedName name="Chem3">'PREOS(bP-dP)'!$B$28:$B$37</definedName>
    <definedName name="Chemicals">Wilson!$B$7:$B$29</definedName>
    <definedName name="D_BIPC">'BIP Constants'!$BC$4:$BC$27</definedName>
    <definedName name="E_BIPC">'BIP Constants'!$BD$4:$BD$27</definedName>
    <definedName name="Kij_Val">'BIP Values'!$B$3:$U$22</definedName>
    <definedName name="MF_iVal">Wilson!$C$7:$C$29</definedName>
    <definedName name="solver_adj" localSheetId="7" hidden="1">'Peng Robinson'!$W$7</definedName>
    <definedName name="solver_adj" localSheetId="0" hidden="1">Settings!$H$7</definedName>
    <definedName name="solver_cvg" localSheetId="7" hidden="1">0.0001</definedName>
    <definedName name="solver_cvg" localSheetId="0" hidden="1">0.0001</definedName>
    <definedName name="solver_drv" localSheetId="7" hidden="1">1</definedName>
    <definedName name="solver_drv" localSheetId="0" hidden="1">1</definedName>
    <definedName name="solver_eng" localSheetId="5" hidden="1">1</definedName>
    <definedName name="solver_eng" localSheetId="7" hidden="1">1</definedName>
    <definedName name="solver_eng" localSheetId="0" hidden="1">1</definedName>
    <definedName name="solver_itr" localSheetId="7" hidden="1">2147483647</definedName>
    <definedName name="solver_itr" localSheetId="0" hidden="1">2147483647</definedName>
    <definedName name="solver_lhs1" localSheetId="0" hidden="1">Settings!$H$6:$H$11</definedName>
    <definedName name="solver_lin" localSheetId="5" hidden="1">2</definedName>
    <definedName name="solver_lin" localSheetId="7" hidden="1">2</definedName>
    <definedName name="solver_lin" localSheetId="0" hidden="1">2</definedName>
    <definedName name="solver_mip" localSheetId="7" hidden="1">2147483647</definedName>
    <definedName name="solver_mip" localSheetId="0" hidden="1">2147483647</definedName>
    <definedName name="solver_mni" localSheetId="7" hidden="1">30</definedName>
    <definedName name="solver_mni" localSheetId="0" hidden="1">30</definedName>
    <definedName name="solver_mrt" localSheetId="7" hidden="1">0.075</definedName>
    <definedName name="solver_mrt" localSheetId="0" hidden="1">0.075</definedName>
    <definedName name="solver_msl" localSheetId="7" hidden="1">2</definedName>
    <definedName name="solver_msl" localSheetId="0" hidden="1">2</definedName>
    <definedName name="solver_neg" localSheetId="5" hidden="1">1</definedName>
    <definedName name="solver_neg" localSheetId="7" hidden="1">1</definedName>
    <definedName name="solver_neg" localSheetId="0" hidden="1">1</definedName>
    <definedName name="solver_nod" localSheetId="7" hidden="1">2147483647</definedName>
    <definedName name="solver_nod" localSheetId="0" hidden="1">2147483647</definedName>
    <definedName name="solver_num" localSheetId="5" hidden="1">0</definedName>
    <definedName name="solver_num" localSheetId="7" hidden="1">0</definedName>
    <definedName name="solver_num" localSheetId="0" hidden="1">0</definedName>
    <definedName name="solver_opt" localSheetId="5" hidden="1">'CASE 2 - EB'!$I$19</definedName>
    <definedName name="solver_opt" localSheetId="7" hidden="1">'Peng Robinson'!$X$13</definedName>
    <definedName name="solver_opt" localSheetId="0" hidden="1">Settings!$I$12</definedName>
    <definedName name="solver_pre" localSheetId="7" hidden="1">0.000001</definedName>
    <definedName name="solver_pre" localSheetId="0" hidden="1">0.000001</definedName>
    <definedName name="solver_rbv" localSheetId="7" hidden="1">1</definedName>
    <definedName name="solver_rbv" localSheetId="0" hidden="1">1</definedName>
    <definedName name="solver_rel1" localSheetId="0" hidden="1">1</definedName>
    <definedName name="solver_rhs1" localSheetId="0" hidden="1">0.99</definedName>
    <definedName name="solver_rlx" localSheetId="7" hidden="1">2</definedName>
    <definedName name="solver_rlx" localSheetId="0" hidden="1">1</definedName>
    <definedName name="solver_rsd" localSheetId="7" hidden="1">0</definedName>
    <definedName name="solver_rsd" localSheetId="0" hidden="1">0</definedName>
    <definedName name="solver_scl" localSheetId="7" hidden="1">1</definedName>
    <definedName name="solver_scl" localSheetId="0" hidden="1">2</definedName>
    <definedName name="solver_sho" localSheetId="7" hidden="1">2</definedName>
    <definedName name="solver_sho" localSheetId="0" hidden="1">2</definedName>
    <definedName name="solver_ssz" localSheetId="7" hidden="1">100</definedName>
    <definedName name="solver_ssz" localSheetId="0" hidden="1">100</definedName>
    <definedName name="solver_tim" localSheetId="7" hidden="1">2147483647</definedName>
    <definedName name="solver_tim" localSheetId="0" hidden="1">2147483647</definedName>
    <definedName name="solver_tol" localSheetId="7" hidden="1">0.01</definedName>
    <definedName name="solver_tol" localSheetId="0" hidden="1">0.01</definedName>
    <definedName name="solver_typ" localSheetId="5" hidden="1">1</definedName>
    <definedName name="solver_typ" localSheetId="7" hidden="1">3</definedName>
    <definedName name="solver_typ" localSheetId="0" hidden="1">3</definedName>
    <definedName name="solver_val" localSheetId="5" hidden="1">0</definedName>
    <definedName name="solver_val" localSheetId="7" hidden="1">0</definedName>
    <definedName name="solver_val" localSheetId="0" hidden="1">0</definedName>
    <definedName name="solver_ver" localSheetId="5" hidden="1">2</definedName>
    <definedName name="solver_ver" localSheetId="7" hidden="1">2</definedName>
    <definedName name="solver_ver" localSheetId="0" hidden="1">2</definedName>
    <definedName name="x_iter1">'Peng Robinson'!$BB$7:$BB$29</definedName>
    <definedName name="x_iter2">'Peng Robinson'!$CD$7:$CD$29</definedName>
    <definedName name="x_iter3">'Peng Robinson'!$DF$7:$DF$29</definedName>
    <definedName name="x_iter4">'Peng Robinson'!$EH$7:$EH$29</definedName>
    <definedName name="x_iter5">'Peng Robinson'!$FJ$7:$FJ$29</definedName>
    <definedName name="x_iter6">'Peng Robinson'!$GL$7:$GL$29</definedName>
    <definedName name="x_iter7">'Peng Robinson'!$HN$7:$HN$29</definedName>
    <definedName name="x_iter8">'Peng Robinson'!$IP$7:$IP$29</definedName>
    <definedName name="x_iVal">'Peng Robinson'!$X$7:$X$29</definedName>
    <definedName name="x_iVal10">'PREOS(bP-dP)'!$GO$28:$GO$37</definedName>
    <definedName name="x_iVal11">'PREOS(bP-dP)'!$HO$28:$HO$37</definedName>
    <definedName name="x_iVal2">'PREOS(bP-dP)'!$J$7:$J$16</definedName>
    <definedName name="x_iVal3">'PREOS(bP-dP)'!$M$28:$M$37</definedName>
    <definedName name="x_iVal4">'PREOS(bP-dP)'!$AO$28:$AO$37</definedName>
    <definedName name="x_iVal5">'PREOS(bP-dP)'!$BO$28:$BO$37</definedName>
    <definedName name="x_iVal6">'PREOS(bP-dP)'!$CO$28:$CO$37</definedName>
    <definedName name="x_iVal7">'PREOS(bP-dP)'!$DO$28:$DO$37</definedName>
    <definedName name="x_iVal8">'PREOS(bP-dP)'!$EO$28:$EO$37</definedName>
    <definedName name="x_iVal9">'PREOS(bP-dP)'!$FO$28:$FO$37</definedName>
    <definedName name="y_iter1">'Peng Robinson'!$BC$7:$BC$29</definedName>
    <definedName name="y_iter2">'Peng Robinson'!$CE$7:$CE$29</definedName>
    <definedName name="y_iter3">'Peng Robinson'!$DG$7:$DG$29</definedName>
    <definedName name="y_iter4">'Peng Robinson'!$EI$7:$EI$29</definedName>
    <definedName name="y_iter5">'Peng Robinson'!$FK$7:$FK$29</definedName>
    <definedName name="y_iter6">'Peng Robinson'!$GM$7:$GM$29</definedName>
    <definedName name="y_iter7">'Peng Robinson'!$HO$7:$HO$29</definedName>
    <definedName name="y_iter8">'Peng Robinson'!$IQ$7:$IQ$29</definedName>
    <definedName name="y_iVal">'Peng Robinson'!$Y$7:$Y$29</definedName>
    <definedName name="y_iVal10">'PREOS(bP-dP)'!$HO$7:$HO$16</definedName>
    <definedName name="y_iVal11">'PREOS(bP-dP)'!$IO$7:$IO$16</definedName>
    <definedName name="y_iVal12">'PREOS(bP-dP)'!$JO$7:$JO$16</definedName>
    <definedName name="y_iVal13">'PREOS(bP-dP)'!$KO$7:$KO$16</definedName>
    <definedName name="y_iVal14">'PREOS(bP-dP)'!$LO$7:$LO$16</definedName>
    <definedName name="y_iVal15">'PREOS(bP-dP)'!$MO$7:$MO$16</definedName>
    <definedName name="y_iVal16">'PREOS(bP-dP)'!$NO$7:$NO$16</definedName>
    <definedName name="y_iVal17">'PREOS(bP-dP)'!$OO$7:$OO$16</definedName>
    <definedName name="y_iVal18">'PREOS(bP-dP)'!$PO$7:$PO$16</definedName>
    <definedName name="y_iVal2">'PREOS(bP-dP)'!$M$7:$M$16</definedName>
    <definedName name="y_iVal3">'PREOS(bP-dP)'!$AO$7:$AO$16</definedName>
    <definedName name="y_iVal4">'PREOS(bP-dP)'!$BO$7:$BO$15</definedName>
    <definedName name="y_iVal5">'PREOS(bP-dP)'!$CO$7:$CO$16</definedName>
    <definedName name="y_iVal6">'PREOS(bP-dP)'!$DO$7:$DO$16</definedName>
    <definedName name="y_iVal7">'PREOS(bP-dP)'!$EO$7:$EO$16</definedName>
    <definedName name="y_iVal8">'PREOS(bP-dP)'!$FO$7:$FO$16</definedName>
    <definedName name="y_iVal9">'PREOS(bP-dP)'!$GO$7:$GO$16</definedName>
    <definedName name="y_iValDP">'PREOS(bP-dP)'!$J$28:$J$37</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7" i="1" l="1"/>
  <c r="D6" i="1"/>
  <c r="E11" i="1"/>
  <c r="F11" i="1"/>
  <c r="E10" i="1"/>
  <c r="F10" i="1"/>
  <c r="E9" i="1"/>
  <c r="F9" i="1"/>
  <c r="E8" i="1"/>
  <c r="F8" i="1"/>
  <c r="E6" i="1"/>
  <c r="F6" i="1"/>
  <c r="E7" i="1"/>
  <c r="F7" i="1"/>
  <c r="H7" i="1"/>
  <c r="O3" i="1"/>
  <c r="O4" i="1"/>
  <c r="K3" i="15"/>
  <c r="K2" i="15"/>
  <c r="O12" i="1"/>
  <c r="Q8" i="15"/>
  <c r="O13" i="1"/>
  <c r="Q9" i="15"/>
  <c r="O14" i="1"/>
  <c r="Q10" i="15"/>
  <c r="O15" i="1"/>
  <c r="Q11" i="15"/>
  <c r="O16" i="1"/>
  <c r="Q12" i="15"/>
  <c r="O6" i="1"/>
  <c r="P8" i="15"/>
  <c r="O7" i="1"/>
  <c r="P9" i="15"/>
  <c r="O8" i="1"/>
  <c r="P10" i="15"/>
  <c r="O9" i="1"/>
  <c r="P11" i="15"/>
  <c r="O10" i="1"/>
  <c r="P12" i="15"/>
  <c r="O11" i="1"/>
  <c r="Q7" i="15"/>
  <c r="O5" i="1"/>
  <c r="P7" i="15"/>
  <c r="M7" i="15"/>
  <c r="L7" i="15"/>
  <c r="K7" i="15"/>
  <c r="J7" i="15"/>
  <c r="N7" i="15"/>
  <c r="T7" i="15"/>
  <c r="J8" i="15"/>
  <c r="K8" i="15"/>
  <c r="M8" i="15"/>
  <c r="N8" i="15"/>
  <c r="T8" i="15"/>
  <c r="J9" i="15"/>
  <c r="K9" i="15"/>
  <c r="L9" i="15"/>
  <c r="M9" i="15"/>
  <c r="N9" i="15"/>
  <c r="T9" i="15"/>
  <c r="J10" i="15"/>
  <c r="K10" i="15"/>
  <c r="L10" i="15"/>
  <c r="M10" i="15"/>
  <c r="N10" i="15"/>
  <c r="T10" i="15"/>
  <c r="J11" i="15"/>
  <c r="K11" i="15"/>
  <c r="L11" i="15"/>
  <c r="M11" i="15"/>
  <c r="N11" i="15"/>
  <c r="T11" i="15"/>
  <c r="J12" i="15"/>
  <c r="K12" i="15"/>
  <c r="L12" i="15"/>
  <c r="M12" i="15"/>
  <c r="N12" i="15"/>
  <c r="T12" i="15"/>
  <c r="E8" i="15"/>
  <c r="F8" i="15"/>
  <c r="I8" i="15"/>
  <c r="E9" i="15"/>
  <c r="I9" i="15"/>
  <c r="I10" i="15"/>
  <c r="E11" i="15"/>
  <c r="I11" i="15"/>
  <c r="I12" i="15"/>
  <c r="I7" i="15"/>
  <c r="J8" i="16"/>
  <c r="K8" i="16"/>
  <c r="M8" i="16"/>
  <c r="N8" i="16"/>
  <c r="J9" i="16"/>
  <c r="K9" i="16"/>
  <c r="L9" i="16"/>
  <c r="M9" i="16"/>
  <c r="N9" i="16"/>
  <c r="J10" i="16"/>
  <c r="K10" i="16"/>
  <c r="L10" i="16"/>
  <c r="M10" i="16"/>
  <c r="N10" i="16"/>
  <c r="J11" i="16"/>
  <c r="K11" i="16"/>
  <c r="L11" i="16"/>
  <c r="M11" i="16"/>
  <c r="N11" i="16"/>
  <c r="J12" i="16"/>
  <c r="K12" i="16"/>
  <c r="L12" i="16"/>
  <c r="M12" i="16"/>
  <c r="N12" i="16"/>
  <c r="J7" i="16"/>
  <c r="K7" i="16"/>
  <c r="L7" i="16"/>
  <c r="M7" i="16"/>
  <c r="N7" i="16"/>
  <c r="E8" i="16"/>
  <c r="F8" i="16"/>
  <c r="I8" i="16"/>
  <c r="E9" i="16"/>
  <c r="I9" i="16"/>
  <c r="I10" i="16"/>
  <c r="E11" i="16"/>
  <c r="I11" i="16"/>
  <c r="I12" i="16"/>
  <c r="I7" i="16"/>
  <c r="Y7" i="16"/>
  <c r="C5" i="14"/>
  <c r="B5" i="14"/>
  <c r="D5" i="14"/>
  <c r="B6" i="14"/>
  <c r="C6" i="14"/>
  <c r="D6" i="14"/>
  <c r="B7" i="14"/>
  <c r="C7" i="14"/>
  <c r="D7" i="14"/>
  <c r="B8" i="14"/>
  <c r="C8" i="14"/>
  <c r="D8" i="14"/>
  <c r="B9" i="14"/>
  <c r="C9" i="14"/>
  <c r="D9" i="14"/>
  <c r="B10" i="14"/>
  <c r="C10" i="14"/>
  <c r="D10" i="14"/>
  <c r="B11" i="14"/>
  <c r="C11" i="14"/>
  <c r="D11" i="14"/>
  <c r="B12" i="14"/>
  <c r="B11" i="1"/>
  <c r="C12" i="14"/>
  <c r="D12" i="14"/>
  <c r="C4" i="14"/>
  <c r="D4" i="14"/>
  <c r="B4" i="14"/>
  <c r="C7" i="16"/>
  <c r="R7" i="16"/>
  <c r="D5" i="16"/>
  <c r="B6" i="16"/>
  <c r="C6" i="16"/>
  <c r="D6" i="16"/>
  <c r="B7" i="16"/>
  <c r="D7" i="16"/>
  <c r="B8" i="16"/>
  <c r="C8" i="16"/>
  <c r="D8" i="16"/>
  <c r="B9" i="16"/>
  <c r="C9" i="16"/>
  <c r="D9" i="16"/>
  <c r="B10" i="16"/>
  <c r="C10" i="16"/>
  <c r="D10" i="16"/>
  <c r="B11" i="16"/>
  <c r="C11" i="16"/>
  <c r="D11" i="16"/>
  <c r="B12" i="16"/>
  <c r="C12" i="16"/>
  <c r="D12" i="16"/>
  <c r="C4" i="16"/>
  <c r="D4" i="16"/>
  <c r="B4" i="16"/>
  <c r="R10" i="16"/>
  <c r="X7" i="14"/>
  <c r="D12" i="15"/>
  <c r="C12" i="15"/>
  <c r="R12" i="15"/>
  <c r="B12" i="15"/>
  <c r="D11" i="15"/>
  <c r="C11" i="15"/>
  <c r="R11" i="15"/>
  <c r="B11" i="15"/>
  <c r="C10" i="15"/>
  <c r="R10" i="15"/>
  <c r="D10" i="15"/>
  <c r="B10" i="15"/>
  <c r="D9" i="15"/>
  <c r="C9" i="15"/>
  <c r="R9" i="15"/>
  <c r="B9" i="15"/>
  <c r="D8" i="15"/>
  <c r="C8" i="15"/>
  <c r="R8" i="15"/>
  <c r="B8" i="15"/>
  <c r="X7" i="15"/>
  <c r="Y7" i="15"/>
  <c r="C7" i="15"/>
  <c r="R7" i="15"/>
  <c r="U7" i="15"/>
  <c r="Z7" i="15"/>
  <c r="D7" i="15"/>
  <c r="B7" i="15"/>
  <c r="D6" i="15"/>
  <c r="B6" i="15"/>
  <c r="D5" i="15"/>
  <c r="B4" i="15"/>
  <c r="M12" i="14"/>
  <c r="L12" i="14"/>
  <c r="K12" i="14"/>
  <c r="J12" i="14"/>
  <c r="M11" i="14"/>
  <c r="L11" i="14"/>
  <c r="K11" i="14"/>
  <c r="J11" i="14"/>
  <c r="M10" i="14"/>
  <c r="L10" i="14"/>
  <c r="K10" i="14"/>
  <c r="J10" i="14"/>
  <c r="M9" i="14"/>
  <c r="L9" i="14"/>
  <c r="K9" i="14"/>
  <c r="J9" i="14"/>
  <c r="M8" i="14"/>
  <c r="K8" i="14"/>
  <c r="J8" i="14"/>
  <c r="M7" i="14"/>
  <c r="L7" i="14"/>
  <c r="K7" i="14"/>
  <c r="J7" i="14"/>
  <c r="E11" i="14"/>
  <c r="E9" i="14"/>
  <c r="F8" i="14"/>
  <c r="E8" i="14"/>
  <c r="Y7" i="14"/>
  <c r="I12" i="14"/>
  <c r="R12" i="14"/>
  <c r="X7" i="16"/>
  <c r="I8" i="14"/>
  <c r="R8" i="14"/>
  <c r="R12" i="16"/>
  <c r="N9" i="14"/>
  <c r="N11" i="14"/>
  <c r="R9" i="16"/>
  <c r="R11" i="16"/>
  <c r="R8" i="16"/>
  <c r="N10" i="14"/>
  <c r="I9" i="14"/>
  <c r="R9" i="14"/>
  <c r="N7" i="14"/>
  <c r="N12" i="14"/>
  <c r="N8" i="14"/>
  <c r="I7" i="14"/>
  <c r="R7" i="14"/>
  <c r="I10" i="14"/>
  <c r="R10" i="14"/>
  <c r="I11" i="14"/>
  <c r="R11" i="14"/>
  <c r="P13" i="2"/>
  <c r="Q13" i="2"/>
  <c r="R13" i="2"/>
  <c r="S13" i="2"/>
  <c r="P14" i="2"/>
  <c r="Q14" i="2"/>
  <c r="R14" i="2"/>
  <c r="S14" i="2"/>
  <c r="P15" i="2"/>
  <c r="Q15" i="2"/>
  <c r="R15" i="2"/>
  <c r="S15" i="2"/>
  <c r="P16" i="2"/>
  <c r="Q16" i="2"/>
  <c r="R16" i="2"/>
  <c r="S16" i="2"/>
  <c r="U7" i="16"/>
  <c r="Z7" i="16"/>
  <c r="U7" i="14"/>
  <c r="Z7" i="14"/>
  <c r="EF34" i="13"/>
  <c r="EF35" i="13"/>
  <c r="EF36" i="13"/>
  <c r="EF37" i="13"/>
  <c r="IG37" i="13"/>
  <c r="IF37" i="13"/>
  <c r="ID37" i="13"/>
  <c r="IC37" i="13"/>
  <c r="IA37" i="13"/>
  <c r="HZ37" i="13"/>
  <c r="IG36" i="13"/>
  <c r="IF36" i="13"/>
  <c r="ID36" i="13"/>
  <c r="IC36" i="13"/>
  <c r="IA36" i="13"/>
  <c r="HZ36" i="13"/>
  <c r="IG35" i="13"/>
  <c r="IF35" i="13"/>
  <c r="ID35" i="13"/>
  <c r="IC35" i="13"/>
  <c r="IA35" i="13"/>
  <c r="HZ35" i="13"/>
  <c r="IG34" i="13"/>
  <c r="IF34" i="13"/>
  <c r="ID34" i="13"/>
  <c r="IC34" i="13"/>
  <c r="IA34" i="13"/>
  <c r="HZ34" i="13"/>
  <c r="HG34" i="13"/>
  <c r="HG35" i="13"/>
  <c r="HG36" i="13"/>
  <c r="HG37" i="13"/>
  <c r="HF34" i="13"/>
  <c r="HF35" i="13"/>
  <c r="HF36" i="13"/>
  <c r="HF37" i="13"/>
  <c r="GZ34" i="13"/>
  <c r="GZ35" i="13"/>
  <c r="GZ36" i="13"/>
  <c r="GZ37" i="13"/>
  <c r="DA34" i="13"/>
  <c r="DA35" i="13"/>
  <c r="DA36" i="13"/>
  <c r="DA37" i="13"/>
  <c r="CZ34" i="13"/>
  <c r="CZ35" i="13"/>
  <c r="CZ36" i="13"/>
  <c r="CZ37" i="13"/>
  <c r="CG34" i="13"/>
  <c r="CG35" i="13"/>
  <c r="CG36" i="13"/>
  <c r="CG37" i="13"/>
  <c r="CF34" i="13"/>
  <c r="CF35" i="13"/>
  <c r="CF36" i="13"/>
  <c r="CF37" i="13"/>
  <c r="CD34" i="13"/>
  <c r="CD35" i="13"/>
  <c r="CD36" i="13"/>
  <c r="CD37" i="13"/>
  <c r="CC34" i="13"/>
  <c r="CC35" i="13"/>
  <c r="CC36" i="13"/>
  <c r="CC37" i="13"/>
  <c r="BZ34" i="13"/>
  <c r="BZ35" i="13"/>
  <c r="BZ36" i="13"/>
  <c r="BZ37" i="13"/>
  <c r="CA34" i="13"/>
  <c r="CA35" i="13"/>
  <c r="CA36" i="13"/>
  <c r="CA37" i="13"/>
  <c r="BG34" i="13"/>
  <c r="BG35" i="13"/>
  <c r="BG36" i="13"/>
  <c r="BG37" i="13"/>
  <c r="BF34" i="13"/>
  <c r="BF35" i="13"/>
  <c r="BF36" i="13"/>
  <c r="BF37" i="13"/>
  <c r="BD34" i="13"/>
  <c r="BD35" i="13"/>
  <c r="BD36" i="13"/>
  <c r="BD37" i="13"/>
  <c r="BC34" i="13"/>
  <c r="BC35" i="13"/>
  <c r="BC36" i="13"/>
  <c r="BC37" i="13"/>
  <c r="BA34" i="13"/>
  <c r="BA35" i="13"/>
  <c r="BA36" i="13"/>
  <c r="BA37" i="13"/>
  <c r="AZ34" i="13"/>
  <c r="AZ35" i="13"/>
  <c r="AZ36" i="13"/>
  <c r="AZ37" i="13"/>
  <c r="B26" i="13"/>
  <c r="C26" i="13"/>
  <c r="D26" i="13"/>
  <c r="B27" i="13"/>
  <c r="C27" i="13"/>
  <c r="D27" i="13"/>
  <c r="B28" i="13"/>
  <c r="C28" i="13"/>
  <c r="D28" i="13"/>
  <c r="B29" i="13"/>
  <c r="D29" i="13"/>
  <c r="B30" i="13"/>
  <c r="C30" i="13"/>
  <c r="D30" i="13"/>
  <c r="B31" i="13"/>
  <c r="C31" i="13"/>
  <c r="D31" i="13"/>
  <c r="B32" i="13"/>
  <c r="D32" i="13"/>
  <c r="B33" i="13"/>
  <c r="D33" i="13"/>
  <c r="C25" i="13"/>
  <c r="D25" i="13"/>
  <c r="B25" i="13"/>
  <c r="HD34" i="13"/>
  <c r="HD35" i="13"/>
  <c r="HD36" i="13"/>
  <c r="HD37" i="13"/>
  <c r="HC34" i="13"/>
  <c r="HC35" i="13"/>
  <c r="HC36" i="13"/>
  <c r="HC37" i="13"/>
  <c r="GD34" i="13"/>
  <c r="GD35" i="13"/>
  <c r="GD36" i="13"/>
  <c r="GD37" i="13"/>
  <c r="GC34" i="13"/>
  <c r="GC35" i="13"/>
  <c r="GC36" i="13"/>
  <c r="GC37" i="13"/>
  <c r="FD34" i="13"/>
  <c r="FD35" i="13"/>
  <c r="FD36" i="13"/>
  <c r="FD37" i="13"/>
  <c r="FC34" i="13"/>
  <c r="FC35" i="13"/>
  <c r="FC36" i="13"/>
  <c r="FC37" i="13"/>
  <c r="ED34" i="13"/>
  <c r="ED35" i="13"/>
  <c r="ED36" i="13"/>
  <c r="ED37" i="13"/>
  <c r="EC34" i="13"/>
  <c r="EC35" i="13"/>
  <c r="EC36" i="13"/>
  <c r="EC37" i="13"/>
  <c r="DD34" i="13"/>
  <c r="DD35" i="13"/>
  <c r="DD36" i="13"/>
  <c r="DD37" i="13"/>
  <c r="DC34" i="13"/>
  <c r="DC35" i="13"/>
  <c r="DC36" i="13"/>
  <c r="DC37" i="13"/>
  <c r="J29" i="13"/>
  <c r="J30" i="13"/>
  <c r="J31" i="13"/>
  <c r="J33" i="13"/>
  <c r="E29" i="13"/>
  <c r="I29" i="13"/>
  <c r="E30" i="13"/>
  <c r="I30" i="13"/>
  <c r="E31" i="13"/>
  <c r="I31" i="13"/>
  <c r="E32" i="13"/>
  <c r="I32" i="13"/>
  <c r="E33" i="13"/>
  <c r="I33" i="13"/>
  <c r="E28" i="13"/>
  <c r="I28" i="13"/>
  <c r="F28" i="13"/>
  <c r="G28" i="13"/>
  <c r="H28" i="13"/>
  <c r="F8" i="8"/>
  <c r="F29" i="13"/>
  <c r="G29" i="13"/>
  <c r="H29" i="13"/>
  <c r="F30" i="13"/>
  <c r="G30" i="13"/>
  <c r="H30" i="13"/>
  <c r="F31" i="13"/>
  <c r="G31" i="13"/>
  <c r="H31" i="13"/>
  <c r="F32" i="13"/>
  <c r="G32" i="13"/>
  <c r="H32" i="13"/>
  <c r="F33" i="13"/>
  <c r="G33" i="13"/>
  <c r="H33" i="13"/>
  <c r="A29" i="13"/>
  <c r="A30" i="13"/>
  <c r="A31" i="13"/>
  <c r="A32" i="13"/>
  <c r="A33" i="13"/>
  <c r="A34" i="13"/>
  <c r="A35" i="13"/>
  <c r="A36" i="13"/>
  <c r="A37" i="13"/>
  <c r="A8" i="13"/>
  <c r="A9" i="13"/>
  <c r="A10" i="13"/>
  <c r="A11" i="13"/>
  <c r="A12" i="13"/>
  <c r="A13" i="13"/>
  <c r="A14" i="13"/>
  <c r="A15" i="13"/>
  <c r="A16" i="13"/>
  <c r="J28" i="13"/>
  <c r="J32" i="13"/>
  <c r="QG13" i="13"/>
  <c r="QG14" i="13"/>
  <c r="QG15" i="13"/>
  <c r="QG16" i="13"/>
  <c r="QF13" i="13"/>
  <c r="QF14" i="13"/>
  <c r="QF15" i="13"/>
  <c r="QF16" i="13"/>
  <c r="QA13" i="13"/>
  <c r="QA14" i="13"/>
  <c r="QA15" i="13"/>
  <c r="QA16" i="13"/>
  <c r="QO16" i="13"/>
  <c r="PZ16" i="13"/>
  <c r="QO15" i="13"/>
  <c r="PZ15" i="13"/>
  <c r="QO14" i="13"/>
  <c r="PZ14" i="13"/>
  <c r="QO13" i="13"/>
  <c r="PZ13" i="13"/>
  <c r="PG13" i="13"/>
  <c r="PG14" i="13"/>
  <c r="PG15" i="13"/>
  <c r="PG16" i="13"/>
  <c r="PF13" i="13"/>
  <c r="PF14" i="13"/>
  <c r="PF15" i="13"/>
  <c r="PF16" i="13"/>
  <c r="PA13" i="13"/>
  <c r="PA14" i="13"/>
  <c r="PA15" i="13"/>
  <c r="PA16" i="13"/>
  <c r="PO16" i="13"/>
  <c r="OZ16" i="13"/>
  <c r="PO15" i="13"/>
  <c r="OZ15" i="13"/>
  <c r="PO14" i="13"/>
  <c r="OZ14" i="13"/>
  <c r="PO13" i="13"/>
  <c r="OZ13" i="13"/>
  <c r="OG13" i="13"/>
  <c r="OG14" i="13"/>
  <c r="OG15" i="13"/>
  <c r="OG16" i="13"/>
  <c r="OF13" i="13"/>
  <c r="OF14" i="13"/>
  <c r="OF15" i="13"/>
  <c r="OF16" i="13"/>
  <c r="OA13" i="13"/>
  <c r="OA14" i="13"/>
  <c r="OA15" i="13"/>
  <c r="OA16" i="13"/>
  <c r="OO16" i="13"/>
  <c r="NZ16" i="13"/>
  <c r="OO15" i="13"/>
  <c r="NZ15" i="13"/>
  <c r="OO14" i="13"/>
  <c r="NZ14" i="13"/>
  <c r="OO13" i="13"/>
  <c r="NZ13" i="13"/>
  <c r="NG13" i="13"/>
  <c r="NG14" i="13"/>
  <c r="NG15" i="13"/>
  <c r="NG16" i="13"/>
  <c r="NF13" i="13"/>
  <c r="NF14" i="13"/>
  <c r="NF15" i="13"/>
  <c r="NF16" i="13"/>
  <c r="NA13" i="13"/>
  <c r="NA14" i="13"/>
  <c r="NA15" i="13"/>
  <c r="NA16" i="13"/>
  <c r="NO16" i="13"/>
  <c r="MZ16" i="13"/>
  <c r="NO15" i="13"/>
  <c r="MZ15" i="13"/>
  <c r="NO14" i="13"/>
  <c r="MZ14" i="13"/>
  <c r="NO13" i="13"/>
  <c r="MZ13" i="13"/>
  <c r="MG13" i="13"/>
  <c r="MG14" i="13"/>
  <c r="MG15" i="13"/>
  <c r="MG16" i="13"/>
  <c r="MF13" i="13"/>
  <c r="MF14" i="13"/>
  <c r="MF15" i="13"/>
  <c r="MF16" i="13"/>
  <c r="MA13" i="13"/>
  <c r="MA14" i="13"/>
  <c r="MA15" i="13"/>
  <c r="MA16" i="13"/>
  <c r="MO16" i="13"/>
  <c r="LZ16" i="13"/>
  <c r="MO15" i="13"/>
  <c r="LZ15" i="13"/>
  <c r="MO14" i="13"/>
  <c r="LZ14" i="13"/>
  <c r="MO13" i="13"/>
  <c r="LZ13" i="13"/>
  <c r="LG13" i="13"/>
  <c r="LG14" i="13"/>
  <c r="LG15" i="13"/>
  <c r="LG16" i="13"/>
  <c r="LF13" i="13"/>
  <c r="LF14" i="13"/>
  <c r="LF15" i="13"/>
  <c r="LF16" i="13"/>
  <c r="LA13" i="13"/>
  <c r="LA14" i="13"/>
  <c r="LA15" i="13"/>
  <c r="LA16" i="13"/>
  <c r="LO16" i="13"/>
  <c r="KZ16" i="13"/>
  <c r="LO15" i="13"/>
  <c r="KZ15" i="13"/>
  <c r="LO14" i="13"/>
  <c r="KZ14" i="13"/>
  <c r="LO13" i="13"/>
  <c r="KZ13" i="13"/>
  <c r="KG13" i="13"/>
  <c r="KG14" i="13"/>
  <c r="KG15" i="13"/>
  <c r="KG16" i="13"/>
  <c r="KF13" i="13"/>
  <c r="KF14" i="13"/>
  <c r="KF15" i="13"/>
  <c r="KF16" i="13"/>
  <c r="KA13" i="13"/>
  <c r="KA14" i="13"/>
  <c r="KA15" i="13"/>
  <c r="KA16" i="13"/>
  <c r="KO16" i="13"/>
  <c r="JZ16" i="13"/>
  <c r="KO15" i="13"/>
  <c r="JZ15" i="13"/>
  <c r="KO14" i="13"/>
  <c r="JZ14" i="13"/>
  <c r="KO13" i="13"/>
  <c r="JZ13" i="13"/>
  <c r="JG13" i="13"/>
  <c r="JG14" i="13"/>
  <c r="JG15" i="13"/>
  <c r="JG16" i="13"/>
  <c r="JF13" i="13"/>
  <c r="JF14" i="13"/>
  <c r="JF15" i="13"/>
  <c r="JF16" i="13"/>
  <c r="N32" i="13"/>
  <c r="O30" i="13"/>
  <c r="O28" i="13"/>
  <c r="N28" i="13"/>
  <c r="O31" i="13"/>
  <c r="N30" i="13"/>
  <c r="O32" i="13"/>
  <c r="N29" i="13"/>
  <c r="O29" i="13"/>
  <c r="N31" i="13"/>
  <c r="O33" i="13"/>
  <c r="N33" i="13"/>
  <c r="ID28" i="13"/>
  <c r="ID29" i="13"/>
  <c r="ID33" i="13"/>
  <c r="ID31" i="13"/>
  <c r="ID30" i="13"/>
  <c r="ID32" i="13"/>
  <c r="HD28" i="13"/>
  <c r="CD33" i="13"/>
  <c r="CD30" i="13"/>
  <c r="CD32" i="13"/>
  <c r="CD31" i="13"/>
  <c r="CD29" i="13"/>
  <c r="CD28" i="13"/>
  <c r="BD33" i="13"/>
  <c r="BD30" i="13"/>
  <c r="BD32" i="13"/>
  <c r="BD31" i="13"/>
  <c r="BD29" i="13"/>
  <c r="HD32" i="13"/>
  <c r="HD31" i="13"/>
  <c r="HD30" i="13"/>
  <c r="HD33" i="13"/>
  <c r="HD29" i="13"/>
  <c r="GD32" i="13"/>
  <c r="GD31" i="13"/>
  <c r="GD30" i="13"/>
  <c r="GD33" i="13"/>
  <c r="GD29" i="13"/>
  <c r="GD28" i="13"/>
  <c r="FD32" i="13"/>
  <c r="FD31" i="13"/>
  <c r="FD30" i="13"/>
  <c r="FD33" i="13"/>
  <c r="FD29" i="13"/>
  <c r="FD28" i="13"/>
  <c r="ED32" i="13"/>
  <c r="ED31" i="13"/>
  <c r="ED30" i="13"/>
  <c r="ED33" i="13"/>
  <c r="ED29" i="13"/>
  <c r="ED28" i="13"/>
  <c r="DD32" i="13"/>
  <c r="DD31" i="13"/>
  <c r="DD30" i="13"/>
  <c r="DD33" i="13"/>
  <c r="DD29" i="13"/>
  <c r="DD28" i="13"/>
  <c r="BD28" i="13"/>
  <c r="AD32" i="13"/>
  <c r="AD31" i="13"/>
  <c r="AD30" i="13"/>
  <c r="AD33" i="13"/>
  <c r="AD29" i="13"/>
  <c r="AD28" i="13"/>
  <c r="JO16" i="13"/>
  <c r="JA16" i="13"/>
  <c r="IZ16" i="13"/>
  <c r="JO15" i="13"/>
  <c r="JA15" i="13"/>
  <c r="IZ15" i="13"/>
  <c r="JO14" i="13"/>
  <c r="JA14" i="13"/>
  <c r="IZ14" i="13"/>
  <c r="JO13" i="13"/>
  <c r="JA13" i="13"/>
  <c r="IZ13" i="13"/>
  <c r="IG13" i="13"/>
  <c r="IG14" i="13"/>
  <c r="IG15" i="13"/>
  <c r="IG16" i="13"/>
  <c r="IF13" i="13"/>
  <c r="IF14" i="13"/>
  <c r="IF15" i="13"/>
  <c r="IF16" i="13"/>
  <c r="IA13" i="13"/>
  <c r="IA14" i="13"/>
  <c r="IA15" i="13"/>
  <c r="IA16" i="13"/>
  <c r="IO16" i="13"/>
  <c r="HZ16" i="13"/>
  <c r="IO15" i="13"/>
  <c r="HZ15" i="13"/>
  <c r="IO14" i="13"/>
  <c r="HZ14" i="13"/>
  <c r="IO13" i="13"/>
  <c r="HZ13" i="13"/>
  <c r="HG13" i="13"/>
  <c r="HG14" i="13"/>
  <c r="HG15" i="13"/>
  <c r="HG16" i="13"/>
  <c r="HF13" i="13"/>
  <c r="HF14" i="13"/>
  <c r="HF15" i="13"/>
  <c r="HF16" i="13"/>
  <c r="HA13" i="13"/>
  <c r="HA14" i="13"/>
  <c r="HA15" i="13"/>
  <c r="HA16" i="13"/>
  <c r="GZ13" i="13"/>
  <c r="GZ14" i="13"/>
  <c r="GZ15" i="13"/>
  <c r="GZ16" i="13"/>
  <c r="HO16" i="13"/>
  <c r="HO15" i="13"/>
  <c r="HO14" i="13"/>
  <c r="HO13" i="13"/>
  <c r="GO13" i="13"/>
  <c r="GO14" i="13"/>
  <c r="GO15" i="13"/>
  <c r="GO16" i="13"/>
  <c r="GG13" i="13"/>
  <c r="GG14" i="13"/>
  <c r="GG15" i="13"/>
  <c r="GG16" i="13"/>
  <c r="GF13" i="13"/>
  <c r="GF14" i="13"/>
  <c r="GF15" i="13"/>
  <c r="GF16" i="13"/>
  <c r="GA13" i="13"/>
  <c r="GA14" i="13"/>
  <c r="GA15" i="13"/>
  <c r="GA16" i="13"/>
  <c r="FZ13" i="13"/>
  <c r="FZ14" i="13"/>
  <c r="FZ15" i="13"/>
  <c r="FZ16" i="13"/>
  <c r="FG13" i="13"/>
  <c r="FG14" i="13"/>
  <c r="FG15" i="13"/>
  <c r="FG16" i="13"/>
  <c r="FF13" i="13"/>
  <c r="FF14" i="13"/>
  <c r="FF15" i="13"/>
  <c r="FF16" i="13"/>
  <c r="FA13" i="13"/>
  <c r="FA14" i="13"/>
  <c r="FA15" i="13"/>
  <c r="FA16" i="13"/>
  <c r="EZ13" i="13"/>
  <c r="EZ14" i="13"/>
  <c r="EZ15" i="13"/>
  <c r="EZ16" i="13"/>
  <c r="EO13" i="13"/>
  <c r="EO14" i="13"/>
  <c r="EO15" i="13"/>
  <c r="EO16" i="13"/>
  <c r="EG13" i="13"/>
  <c r="EG14" i="13"/>
  <c r="EG15" i="13"/>
  <c r="EG16" i="13"/>
  <c r="EF13" i="13"/>
  <c r="EF14" i="13"/>
  <c r="EF15" i="13"/>
  <c r="EF16" i="13"/>
  <c r="EA13" i="13"/>
  <c r="EA14" i="13"/>
  <c r="EA15" i="13"/>
  <c r="EA16" i="13"/>
  <c r="DZ13" i="13"/>
  <c r="DZ14" i="13"/>
  <c r="DZ15" i="13"/>
  <c r="DZ16" i="13"/>
  <c r="DG13" i="13"/>
  <c r="DG14" i="13"/>
  <c r="DG15" i="13"/>
  <c r="DG16" i="13"/>
  <c r="DF13" i="13"/>
  <c r="DF14" i="13"/>
  <c r="DF15" i="13"/>
  <c r="DF16" i="13"/>
  <c r="DA13" i="13"/>
  <c r="DA14" i="13"/>
  <c r="DA15" i="13"/>
  <c r="DA16" i="13"/>
  <c r="CZ13" i="13"/>
  <c r="CZ14" i="13"/>
  <c r="CZ15" i="13"/>
  <c r="CZ16" i="13"/>
  <c r="BO13" i="13"/>
  <c r="BO14" i="13"/>
  <c r="BO15" i="13"/>
  <c r="IE31" i="13"/>
  <c r="HE31" i="13"/>
  <c r="GE31" i="13"/>
  <c r="FE31" i="13"/>
  <c r="EE31" i="13"/>
  <c r="DE31" i="13"/>
  <c r="CE31" i="13"/>
  <c r="BE31" i="13"/>
  <c r="E8" i="13"/>
  <c r="F8" i="13"/>
  <c r="G8" i="13"/>
  <c r="H8" i="13"/>
  <c r="E9" i="13"/>
  <c r="F9" i="13"/>
  <c r="G9" i="13"/>
  <c r="H9" i="13"/>
  <c r="E10" i="13"/>
  <c r="F10" i="13"/>
  <c r="G10" i="13"/>
  <c r="H10" i="13"/>
  <c r="E11" i="13"/>
  <c r="F11" i="13"/>
  <c r="G11" i="13"/>
  <c r="H11" i="13"/>
  <c r="E12" i="13"/>
  <c r="F12" i="13"/>
  <c r="G12" i="13"/>
  <c r="H12" i="13"/>
  <c r="F7" i="13"/>
  <c r="G7" i="13"/>
  <c r="H7" i="13"/>
  <c r="E7" i="13"/>
  <c r="H13" i="2"/>
  <c r="A20" i="2"/>
  <c r="D20" i="2"/>
  <c r="H14" i="2"/>
  <c r="A21" i="2"/>
  <c r="D21" i="2"/>
  <c r="H15" i="2"/>
  <c r="A22" i="2"/>
  <c r="D22" i="2"/>
  <c r="H16" i="2"/>
  <c r="A23" i="2"/>
  <c r="D23" i="2"/>
  <c r="I13" i="2"/>
  <c r="AQ13" i="2"/>
  <c r="I14" i="2"/>
  <c r="AQ14" i="2"/>
  <c r="I15" i="2"/>
  <c r="AQ15" i="2"/>
  <c r="I16" i="2"/>
  <c r="AQ16" i="2"/>
  <c r="I17" i="2"/>
  <c r="AQ17" i="2"/>
  <c r="I18" i="2"/>
  <c r="AQ18" i="2"/>
  <c r="I19" i="2"/>
  <c r="AQ19" i="2"/>
  <c r="I20" i="2"/>
  <c r="AQ20" i="2"/>
  <c r="I21" i="2"/>
  <c r="AQ21" i="2"/>
  <c r="I22" i="2"/>
  <c r="AQ22" i="2"/>
  <c r="I23" i="2"/>
  <c r="AQ23" i="2"/>
  <c r="I24" i="2"/>
  <c r="AQ24" i="2"/>
  <c r="I25" i="2"/>
  <c r="AQ25" i="2"/>
  <c r="I26" i="2"/>
  <c r="AQ26" i="2"/>
  <c r="I27" i="2"/>
  <c r="AQ27" i="2"/>
  <c r="I28" i="2"/>
  <c r="AQ28" i="2"/>
  <c r="I29" i="2"/>
  <c r="AQ29" i="2"/>
  <c r="AP13" i="2"/>
  <c r="AP14" i="2"/>
  <c r="AP15" i="2"/>
  <c r="AP16" i="2"/>
  <c r="AP17" i="2"/>
  <c r="AP18" i="2"/>
  <c r="AP19" i="2"/>
  <c r="AP20" i="2"/>
  <c r="AP21" i="2"/>
  <c r="AP22" i="2"/>
  <c r="AP23" i="2"/>
  <c r="AP24" i="2"/>
  <c r="AP25" i="2"/>
  <c r="AP26" i="2"/>
  <c r="AP27" i="2"/>
  <c r="AP28" i="2"/>
  <c r="AP29" i="2"/>
  <c r="K7" i="11"/>
  <c r="O9" i="13"/>
  <c r="O12" i="13"/>
  <c r="O8" i="13"/>
  <c r="O7" i="13"/>
  <c r="O10" i="13"/>
  <c r="O11" i="13"/>
  <c r="C10" i="13"/>
  <c r="J10" i="13"/>
  <c r="QC10" i="13"/>
  <c r="C12" i="13"/>
  <c r="J12" i="13"/>
  <c r="QC12" i="13"/>
  <c r="C8" i="13"/>
  <c r="J8" i="13"/>
  <c r="QC8" i="13"/>
  <c r="C9" i="13"/>
  <c r="J9" i="13"/>
  <c r="QC9" i="13"/>
  <c r="PC10" i="13"/>
  <c r="PC12" i="13"/>
  <c r="C7" i="13"/>
  <c r="J7" i="13"/>
  <c r="PC7" i="13"/>
  <c r="PC8" i="13"/>
  <c r="PC9" i="13"/>
  <c r="OC10" i="13"/>
  <c r="OC12" i="13"/>
  <c r="OC8" i="13"/>
  <c r="OC9" i="13"/>
  <c r="NC10" i="13"/>
  <c r="NC12" i="13"/>
  <c r="NC7" i="13"/>
  <c r="NC8" i="13"/>
  <c r="NC9" i="13"/>
  <c r="MC10" i="13"/>
  <c r="MC12" i="13"/>
  <c r="MC8" i="13"/>
  <c r="MC9" i="13"/>
  <c r="LC10" i="13"/>
  <c r="LC12" i="13"/>
  <c r="LC7" i="13"/>
  <c r="LC8" i="13"/>
  <c r="LC9" i="13"/>
  <c r="KC10" i="13"/>
  <c r="KC12" i="13"/>
  <c r="KC8" i="13"/>
  <c r="KC9" i="13"/>
  <c r="JC10" i="13"/>
  <c r="JC12" i="13"/>
  <c r="JC7" i="13"/>
  <c r="JC8" i="13"/>
  <c r="JC9" i="13"/>
  <c r="IC10" i="13"/>
  <c r="IC12" i="13"/>
  <c r="IC8" i="13"/>
  <c r="IC9" i="13"/>
  <c r="HC10" i="13"/>
  <c r="HC12" i="13"/>
  <c r="HC7" i="13"/>
  <c r="HC8" i="13"/>
  <c r="HC9" i="13"/>
  <c r="GC10" i="13"/>
  <c r="GC12" i="13"/>
  <c r="GC8" i="13"/>
  <c r="GC9" i="13"/>
  <c r="FC10" i="13"/>
  <c r="FC12" i="13"/>
  <c r="FC7" i="13"/>
  <c r="FC8" i="13"/>
  <c r="FC9" i="13"/>
  <c r="EC10" i="13"/>
  <c r="EC12" i="13"/>
  <c r="EC8" i="13"/>
  <c r="EC9" i="13"/>
  <c r="DC10" i="13"/>
  <c r="DC12" i="13"/>
  <c r="DC7" i="13"/>
  <c r="DC8" i="13"/>
  <c r="DC9" i="13"/>
  <c r="CC10" i="13"/>
  <c r="CC12" i="13"/>
  <c r="CC8" i="13"/>
  <c r="CC9" i="13"/>
  <c r="CC7" i="13"/>
  <c r="BC9" i="13"/>
  <c r="BC12" i="13"/>
  <c r="BC8" i="13"/>
  <c r="BC10" i="13"/>
  <c r="BC7" i="13"/>
  <c r="AC8" i="13"/>
  <c r="AC7" i="13"/>
  <c r="H8" i="2"/>
  <c r="A15" i="2"/>
  <c r="D15" i="2"/>
  <c r="H9" i="2"/>
  <c r="A16" i="2"/>
  <c r="D16" i="2"/>
  <c r="H10" i="2"/>
  <c r="A17" i="2"/>
  <c r="D17" i="2"/>
  <c r="H11" i="2"/>
  <c r="A18" i="2"/>
  <c r="D18" i="2"/>
  <c r="H12" i="2"/>
  <c r="A19" i="2"/>
  <c r="D19" i="2"/>
  <c r="H7" i="2"/>
  <c r="A14" i="2"/>
  <c r="D14" i="2"/>
  <c r="B5" i="13"/>
  <c r="D5" i="13"/>
  <c r="B6" i="13"/>
  <c r="D6" i="13"/>
  <c r="B7" i="13"/>
  <c r="QC7" i="13"/>
  <c r="D7" i="13"/>
  <c r="B8" i="13"/>
  <c r="D8" i="13"/>
  <c r="B9" i="13"/>
  <c r="AC9" i="13"/>
  <c r="D9" i="13"/>
  <c r="B10" i="13"/>
  <c r="AC10" i="13"/>
  <c r="D10" i="13"/>
  <c r="B11" i="13"/>
  <c r="C11" i="13"/>
  <c r="J11" i="13"/>
  <c r="AC11" i="13"/>
  <c r="D11" i="13"/>
  <c r="B12" i="13"/>
  <c r="AC12" i="13"/>
  <c r="D12" i="13"/>
  <c r="C4" i="13"/>
  <c r="D4" i="13"/>
  <c r="B4" i="13"/>
  <c r="CC11" i="13"/>
  <c r="CE7" i="13"/>
  <c r="BC11" i="13"/>
  <c r="FC11" i="13"/>
  <c r="FE7" i="13"/>
  <c r="IC11" i="13"/>
  <c r="NC11" i="13"/>
  <c r="NE7" i="13"/>
  <c r="QC11" i="13"/>
  <c r="QE7" i="13"/>
  <c r="PC11" i="13"/>
  <c r="PE7" i="13"/>
  <c r="DC11" i="13"/>
  <c r="DE7" i="13"/>
  <c r="GC11" i="13"/>
  <c r="LC11" i="13"/>
  <c r="LE7" i="13"/>
  <c r="OC11" i="13"/>
  <c r="HC11" i="13"/>
  <c r="HE7" i="13"/>
  <c r="KC11" i="13"/>
  <c r="EC11" i="13"/>
  <c r="JC11" i="13"/>
  <c r="JE7" i="13"/>
  <c r="MC11" i="13"/>
  <c r="EC7" i="13"/>
  <c r="GC7" i="13"/>
  <c r="IC7" i="13"/>
  <c r="KC7" i="13"/>
  <c r="MC7" i="13"/>
  <c r="OC7" i="13"/>
  <c r="AE7" i="13"/>
  <c r="I11" i="13"/>
  <c r="I8" i="13"/>
  <c r="I12" i="13"/>
  <c r="I9" i="13"/>
  <c r="I7" i="13"/>
  <c r="I10" i="13"/>
  <c r="JE13" i="2"/>
  <c r="AT17" i="2"/>
  <c r="AT18" i="2"/>
  <c r="AT19" i="2"/>
  <c r="AT20" i="2"/>
  <c r="AT21" i="2"/>
  <c r="AT22" i="2"/>
  <c r="AT23" i="2"/>
  <c r="AT24" i="2"/>
  <c r="AT25" i="2"/>
  <c r="AT26" i="2"/>
  <c r="AT27" i="2"/>
  <c r="AT28" i="2"/>
  <c r="AT29" i="2"/>
  <c r="X18" i="2"/>
  <c r="AS18" i="2"/>
  <c r="X19" i="2"/>
  <c r="AS19" i="2"/>
  <c r="X20" i="2"/>
  <c r="AS20" i="2"/>
  <c r="X21" i="2"/>
  <c r="AS21" i="2"/>
  <c r="X22" i="2"/>
  <c r="AS22" i="2"/>
  <c r="X23" i="2"/>
  <c r="AS23" i="2"/>
  <c r="X24" i="2"/>
  <c r="AS24" i="2"/>
  <c r="X25" i="2"/>
  <c r="AS25" i="2"/>
  <c r="X26" i="2"/>
  <c r="AS26" i="2"/>
  <c r="X27" i="2"/>
  <c r="AS27" i="2"/>
  <c r="X28" i="2"/>
  <c r="AS28" i="2"/>
  <c r="X29" i="2"/>
  <c r="AS29" i="2"/>
  <c r="L13" i="8"/>
  <c r="L14" i="8"/>
  <c r="L15" i="8"/>
  <c r="L16" i="8"/>
  <c r="L17" i="8"/>
  <c r="N13" i="8"/>
  <c r="Y13" i="2"/>
  <c r="N14" i="8"/>
  <c r="Y14" i="2"/>
  <c r="N15" i="8"/>
  <c r="Y15" i="2"/>
  <c r="N16" i="8"/>
  <c r="Y16" i="2"/>
  <c r="N17" i="8"/>
  <c r="M13" i="8"/>
  <c r="X13" i="2"/>
  <c r="M14" i="8"/>
  <c r="X14" i="2"/>
  <c r="M15" i="8"/>
  <c r="X15" i="2"/>
  <c r="M16" i="8"/>
  <c r="X16" i="2"/>
  <c r="M17" i="8"/>
  <c r="X17" i="2"/>
  <c r="AS17" i="2"/>
  <c r="J13" i="8"/>
  <c r="V13" i="2"/>
  <c r="J14" i="8"/>
  <c r="V14" i="2"/>
  <c r="J15" i="8"/>
  <c r="V15" i="2"/>
  <c r="J16" i="8"/>
  <c r="V16" i="2"/>
  <c r="I7" i="2"/>
  <c r="Z7" i="2"/>
  <c r="I8" i="2"/>
  <c r="I12" i="2"/>
  <c r="AV16" i="2"/>
  <c r="AW16" i="2"/>
  <c r="AV15" i="2"/>
  <c r="AW15" i="2"/>
  <c r="AV14" i="2"/>
  <c r="AW14" i="2"/>
  <c r="AV13" i="2"/>
  <c r="AW13" i="2"/>
  <c r="BV16" i="2"/>
  <c r="BW16" i="2"/>
  <c r="BV15" i="2"/>
  <c r="BW15" i="2"/>
  <c r="BV14" i="2"/>
  <c r="BW14" i="2"/>
  <c r="BV13" i="2"/>
  <c r="BW13" i="2"/>
  <c r="BV29" i="2"/>
  <c r="BW29" i="2"/>
  <c r="BV28" i="2"/>
  <c r="BW28" i="2"/>
  <c r="BV27" i="2"/>
  <c r="BW27" i="2"/>
  <c r="BV26" i="2"/>
  <c r="BW26" i="2"/>
  <c r="BV17" i="2"/>
  <c r="BW17" i="2"/>
  <c r="BV18" i="2"/>
  <c r="BW18" i="2"/>
  <c r="BV19" i="2"/>
  <c r="BW19" i="2"/>
  <c r="BV20" i="2"/>
  <c r="BW20" i="2"/>
  <c r="BV21" i="2"/>
  <c r="BW21" i="2"/>
  <c r="BV22" i="2"/>
  <c r="BW22" i="2"/>
  <c r="BV23" i="2"/>
  <c r="BW23" i="2"/>
  <c r="BV24" i="2"/>
  <c r="BW24" i="2"/>
  <c r="BV25" i="2"/>
  <c r="BW25" i="2"/>
  <c r="CX16" i="2"/>
  <c r="CY16" i="2"/>
  <c r="CX15" i="2"/>
  <c r="CY15" i="2"/>
  <c r="CX14" i="2"/>
  <c r="CY14" i="2"/>
  <c r="CX13" i="2"/>
  <c r="CY13" i="2"/>
  <c r="CX29" i="2"/>
  <c r="CY29" i="2"/>
  <c r="CX28" i="2"/>
  <c r="CY28" i="2"/>
  <c r="CX27" i="2"/>
  <c r="CY27" i="2"/>
  <c r="CX26" i="2"/>
  <c r="CY26" i="2"/>
  <c r="CX17" i="2"/>
  <c r="CY17" i="2"/>
  <c r="CX18" i="2"/>
  <c r="CY18" i="2"/>
  <c r="CX19" i="2"/>
  <c r="CY19" i="2"/>
  <c r="CX20" i="2"/>
  <c r="CY20" i="2"/>
  <c r="CX21" i="2"/>
  <c r="CY21" i="2"/>
  <c r="CX22" i="2"/>
  <c r="CY22" i="2"/>
  <c r="CX23" i="2"/>
  <c r="CY23" i="2"/>
  <c r="CX24" i="2"/>
  <c r="CY24" i="2"/>
  <c r="CX25" i="2"/>
  <c r="CY25" i="2"/>
  <c r="DZ16" i="2"/>
  <c r="EA16" i="2"/>
  <c r="DZ15" i="2"/>
  <c r="EA15" i="2"/>
  <c r="DZ14" i="2"/>
  <c r="EA14" i="2"/>
  <c r="DZ13" i="2"/>
  <c r="EA13" i="2"/>
  <c r="DZ29" i="2"/>
  <c r="EA29" i="2"/>
  <c r="DZ28" i="2"/>
  <c r="EA28" i="2"/>
  <c r="DZ27" i="2"/>
  <c r="EA27" i="2"/>
  <c r="DZ26" i="2"/>
  <c r="EA26" i="2"/>
  <c r="DZ17" i="2"/>
  <c r="EA17" i="2"/>
  <c r="DZ18" i="2"/>
  <c r="EA18" i="2"/>
  <c r="DZ19" i="2"/>
  <c r="EA19" i="2"/>
  <c r="DZ20" i="2"/>
  <c r="EA20" i="2"/>
  <c r="DZ21" i="2"/>
  <c r="EA21" i="2"/>
  <c r="DZ22" i="2"/>
  <c r="EA22" i="2"/>
  <c r="DZ23" i="2"/>
  <c r="EA23" i="2"/>
  <c r="DZ24" i="2"/>
  <c r="EA24" i="2"/>
  <c r="DZ25" i="2"/>
  <c r="EA25" i="2"/>
  <c r="FB16" i="2"/>
  <c r="FC16" i="2"/>
  <c r="FB15" i="2"/>
  <c r="FC15" i="2"/>
  <c r="FB14" i="2"/>
  <c r="FC14" i="2"/>
  <c r="FB13" i="2"/>
  <c r="FC13" i="2"/>
  <c r="FB29" i="2"/>
  <c r="FC29" i="2"/>
  <c r="FB28" i="2"/>
  <c r="FC28" i="2"/>
  <c r="FB27" i="2"/>
  <c r="FC27" i="2"/>
  <c r="FB26" i="2"/>
  <c r="FC26" i="2"/>
  <c r="FB17" i="2"/>
  <c r="FC17" i="2"/>
  <c r="FB18" i="2"/>
  <c r="FC18" i="2"/>
  <c r="FB19" i="2"/>
  <c r="FC19" i="2"/>
  <c r="FB20" i="2"/>
  <c r="FC20" i="2"/>
  <c r="FB21" i="2"/>
  <c r="FC21" i="2"/>
  <c r="FB22" i="2"/>
  <c r="FC22" i="2"/>
  <c r="FB23" i="2"/>
  <c r="FC23" i="2"/>
  <c r="FB24" i="2"/>
  <c r="FC24" i="2"/>
  <c r="FB25" i="2"/>
  <c r="FC25" i="2"/>
  <c r="GD16" i="2"/>
  <c r="GE16" i="2"/>
  <c r="GD15" i="2"/>
  <c r="GE15" i="2"/>
  <c r="GD14" i="2"/>
  <c r="GE14" i="2"/>
  <c r="GD13" i="2"/>
  <c r="GE13" i="2"/>
  <c r="GD29" i="2"/>
  <c r="GE29" i="2"/>
  <c r="GD28" i="2"/>
  <c r="GE28" i="2"/>
  <c r="GD27" i="2"/>
  <c r="GE27" i="2"/>
  <c r="GD26" i="2"/>
  <c r="GE26" i="2"/>
  <c r="GD17" i="2"/>
  <c r="GE17" i="2"/>
  <c r="GD18" i="2"/>
  <c r="GE18" i="2"/>
  <c r="GD19" i="2"/>
  <c r="GE19" i="2"/>
  <c r="GD20" i="2"/>
  <c r="GE20" i="2"/>
  <c r="GD21" i="2"/>
  <c r="GE21" i="2"/>
  <c r="GD22" i="2"/>
  <c r="GE22" i="2"/>
  <c r="GD23" i="2"/>
  <c r="GE23" i="2"/>
  <c r="GD24" i="2"/>
  <c r="GE24" i="2"/>
  <c r="GD25" i="2"/>
  <c r="GE25" i="2"/>
  <c r="HF16" i="2"/>
  <c r="HG16" i="2"/>
  <c r="HF15" i="2"/>
  <c r="HG15" i="2"/>
  <c r="HF14" i="2"/>
  <c r="HG14" i="2"/>
  <c r="HF13" i="2"/>
  <c r="HG13" i="2"/>
  <c r="HF29" i="2"/>
  <c r="HG29" i="2"/>
  <c r="HF28" i="2"/>
  <c r="HG28" i="2"/>
  <c r="HF27" i="2"/>
  <c r="HG27" i="2"/>
  <c r="HF26" i="2"/>
  <c r="HG26" i="2"/>
  <c r="HF17" i="2"/>
  <c r="HG17" i="2"/>
  <c r="HF18" i="2"/>
  <c r="HG18" i="2"/>
  <c r="HF19" i="2"/>
  <c r="HG19" i="2"/>
  <c r="HF20" i="2"/>
  <c r="HG20" i="2"/>
  <c r="HF21" i="2"/>
  <c r="HG21" i="2"/>
  <c r="HF22" i="2"/>
  <c r="HG22" i="2"/>
  <c r="HF23" i="2"/>
  <c r="HG23" i="2"/>
  <c r="HF24" i="2"/>
  <c r="HG24" i="2"/>
  <c r="HF25" i="2"/>
  <c r="HG25" i="2"/>
  <c r="IH16" i="2"/>
  <c r="II16" i="2"/>
  <c r="IH15" i="2"/>
  <c r="II15" i="2"/>
  <c r="IH14" i="2"/>
  <c r="II14" i="2"/>
  <c r="IH13" i="2"/>
  <c r="II13" i="2"/>
  <c r="IH29" i="2"/>
  <c r="II29" i="2"/>
  <c r="IH28" i="2"/>
  <c r="II28" i="2"/>
  <c r="IH27" i="2"/>
  <c r="II27" i="2"/>
  <c r="IH26" i="2"/>
  <c r="II26" i="2"/>
  <c r="IH17" i="2"/>
  <c r="II17" i="2"/>
  <c r="IH18" i="2"/>
  <c r="II18" i="2"/>
  <c r="IH19" i="2"/>
  <c r="II19" i="2"/>
  <c r="IH20" i="2"/>
  <c r="II20" i="2"/>
  <c r="IH21" i="2"/>
  <c r="II21" i="2"/>
  <c r="IH22" i="2"/>
  <c r="II22" i="2"/>
  <c r="IH23" i="2"/>
  <c r="II23" i="2"/>
  <c r="IH24" i="2"/>
  <c r="II24" i="2"/>
  <c r="IH25" i="2"/>
  <c r="II25" i="2"/>
  <c r="JK13" i="2"/>
  <c r="JK14" i="2"/>
  <c r="JK15" i="2"/>
  <c r="JK16" i="2"/>
  <c r="JK17" i="2"/>
  <c r="JK18" i="2"/>
  <c r="JK19" i="2"/>
  <c r="JK20" i="2"/>
  <c r="JK21" i="2"/>
  <c r="JK22" i="2"/>
  <c r="JK23" i="2"/>
  <c r="JK24" i="2"/>
  <c r="JK25" i="2"/>
  <c r="JK26" i="2"/>
  <c r="JK27" i="2"/>
  <c r="JK28" i="2"/>
  <c r="JK29" i="2"/>
  <c r="JJ13" i="2"/>
  <c r="JJ14" i="2"/>
  <c r="JJ15" i="2"/>
  <c r="JJ16" i="2"/>
  <c r="JJ17" i="2"/>
  <c r="JJ18" i="2"/>
  <c r="JJ19" i="2"/>
  <c r="JJ20" i="2"/>
  <c r="JJ21" i="2"/>
  <c r="JJ22" i="2"/>
  <c r="JJ23" i="2"/>
  <c r="JJ24" i="2"/>
  <c r="JJ25" i="2"/>
  <c r="JJ26" i="2"/>
  <c r="JJ27" i="2"/>
  <c r="JJ28" i="2"/>
  <c r="JJ29" i="2"/>
  <c r="JE14" i="2"/>
  <c r="JE15" i="2"/>
  <c r="JE16" i="2"/>
  <c r="JE17" i="2"/>
  <c r="JE18" i="2"/>
  <c r="JE19" i="2"/>
  <c r="JE20" i="2"/>
  <c r="JE21" i="2"/>
  <c r="JE22" i="2"/>
  <c r="JE23" i="2"/>
  <c r="JE24" i="2"/>
  <c r="JE25" i="2"/>
  <c r="JE26" i="2"/>
  <c r="JE27" i="2"/>
  <c r="JE28" i="2"/>
  <c r="JE29" i="2"/>
  <c r="JD13" i="2"/>
  <c r="JD14" i="2"/>
  <c r="JD15" i="2"/>
  <c r="JD16" i="2"/>
  <c r="JD17" i="2"/>
  <c r="JD18" i="2"/>
  <c r="JD19" i="2"/>
  <c r="JD20" i="2"/>
  <c r="JD21" i="2"/>
  <c r="JD22" i="2"/>
  <c r="JD23" i="2"/>
  <c r="JD24" i="2"/>
  <c r="JD25" i="2"/>
  <c r="JD26" i="2"/>
  <c r="JD27" i="2"/>
  <c r="JD28" i="2"/>
  <c r="JD29" i="2"/>
  <c r="JL29" i="2"/>
  <c r="JM29" i="2"/>
  <c r="JL28" i="2"/>
  <c r="JM28" i="2"/>
  <c r="JL27" i="2"/>
  <c r="JM27" i="2"/>
  <c r="JL26" i="2"/>
  <c r="JM26" i="2"/>
  <c r="JL25" i="2"/>
  <c r="JM25" i="2"/>
  <c r="JL24" i="2"/>
  <c r="JM24" i="2"/>
  <c r="JL23" i="2"/>
  <c r="JM23" i="2"/>
  <c r="JL22" i="2"/>
  <c r="JM22" i="2"/>
  <c r="JL21" i="2"/>
  <c r="JM21" i="2"/>
  <c r="JL20" i="2"/>
  <c r="JM20" i="2"/>
  <c r="JL19" i="2"/>
  <c r="JM19" i="2"/>
  <c r="JL18" i="2"/>
  <c r="JM18" i="2"/>
  <c r="JL17" i="2"/>
  <c r="JM17" i="2"/>
  <c r="JL16" i="2"/>
  <c r="JM16" i="2"/>
  <c r="JL15" i="2"/>
  <c r="JM15" i="2"/>
  <c r="JL14" i="2"/>
  <c r="JM14" i="2"/>
  <c r="JL13" i="2"/>
  <c r="JM13" i="2"/>
  <c r="IV10" i="2"/>
  <c r="IV7" i="2"/>
  <c r="IC13" i="2"/>
  <c r="IC14" i="2"/>
  <c r="IC15" i="2"/>
  <c r="IC16" i="2"/>
  <c r="IC17" i="2"/>
  <c r="IC18" i="2"/>
  <c r="IC19" i="2"/>
  <c r="IC20" i="2"/>
  <c r="IC21" i="2"/>
  <c r="IC22" i="2"/>
  <c r="IC23" i="2"/>
  <c r="IC24" i="2"/>
  <c r="IC25" i="2"/>
  <c r="IC26" i="2"/>
  <c r="IC27" i="2"/>
  <c r="IC28" i="2"/>
  <c r="IC29" i="2"/>
  <c r="IB13" i="2"/>
  <c r="IB14" i="2"/>
  <c r="IB15" i="2"/>
  <c r="IB16" i="2"/>
  <c r="IB17" i="2"/>
  <c r="IB18" i="2"/>
  <c r="IB19" i="2"/>
  <c r="IB20" i="2"/>
  <c r="IB21" i="2"/>
  <c r="IB22" i="2"/>
  <c r="IB23" i="2"/>
  <c r="IB24" i="2"/>
  <c r="IB25" i="2"/>
  <c r="IB26" i="2"/>
  <c r="IB27" i="2"/>
  <c r="IB28" i="2"/>
  <c r="IB29" i="2"/>
  <c r="IJ29" i="2"/>
  <c r="IK29" i="2"/>
  <c r="IJ28" i="2"/>
  <c r="IK28" i="2"/>
  <c r="IJ27" i="2"/>
  <c r="IK27" i="2"/>
  <c r="IJ26" i="2"/>
  <c r="IK26" i="2"/>
  <c r="IJ25" i="2"/>
  <c r="IK25" i="2"/>
  <c r="IJ24" i="2"/>
  <c r="IK24" i="2"/>
  <c r="IJ23" i="2"/>
  <c r="IK23" i="2"/>
  <c r="IJ22" i="2"/>
  <c r="IK22" i="2"/>
  <c r="IJ21" i="2"/>
  <c r="IK21" i="2"/>
  <c r="IJ20" i="2"/>
  <c r="IK20" i="2"/>
  <c r="IJ19" i="2"/>
  <c r="IK19" i="2"/>
  <c r="IJ18" i="2"/>
  <c r="IK18" i="2"/>
  <c r="IJ17" i="2"/>
  <c r="IK17" i="2"/>
  <c r="IJ16" i="2"/>
  <c r="IK16" i="2"/>
  <c r="IJ15" i="2"/>
  <c r="IK15" i="2"/>
  <c r="IJ14" i="2"/>
  <c r="IK14" i="2"/>
  <c r="IJ13" i="2"/>
  <c r="IK13" i="2"/>
  <c r="HT10" i="2"/>
  <c r="HT7" i="2"/>
  <c r="HA13" i="2"/>
  <c r="HA14" i="2"/>
  <c r="HA15" i="2"/>
  <c r="HA16" i="2"/>
  <c r="HA17" i="2"/>
  <c r="HA18" i="2"/>
  <c r="HA19" i="2"/>
  <c r="HA20" i="2"/>
  <c r="HA21" i="2"/>
  <c r="HA22" i="2"/>
  <c r="HA23" i="2"/>
  <c r="HA24" i="2"/>
  <c r="HA25" i="2"/>
  <c r="HA26" i="2"/>
  <c r="HA27" i="2"/>
  <c r="HA28" i="2"/>
  <c r="HA29" i="2"/>
  <c r="GZ13" i="2"/>
  <c r="GZ14" i="2"/>
  <c r="GZ15" i="2"/>
  <c r="GZ16" i="2"/>
  <c r="GZ17" i="2"/>
  <c r="GZ18" i="2"/>
  <c r="GZ19" i="2"/>
  <c r="GZ20" i="2"/>
  <c r="GZ21" i="2"/>
  <c r="GZ22" i="2"/>
  <c r="GZ23" i="2"/>
  <c r="GZ24" i="2"/>
  <c r="GZ25" i="2"/>
  <c r="GZ26" i="2"/>
  <c r="GZ27" i="2"/>
  <c r="GZ28" i="2"/>
  <c r="GZ29" i="2"/>
  <c r="HH29" i="2"/>
  <c r="HI29" i="2"/>
  <c r="HH28" i="2"/>
  <c r="HI28" i="2"/>
  <c r="HH27" i="2"/>
  <c r="HI27" i="2"/>
  <c r="HH26" i="2"/>
  <c r="HI26" i="2"/>
  <c r="HH25" i="2"/>
  <c r="HI25" i="2"/>
  <c r="HH24" i="2"/>
  <c r="HI24" i="2"/>
  <c r="HH23" i="2"/>
  <c r="HI23" i="2"/>
  <c r="HH22" i="2"/>
  <c r="HI22" i="2"/>
  <c r="HH21" i="2"/>
  <c r="HI21" i="2"/>
  <c r="HH20" i="2"/>
  <c r="HI20" i="2"/>
  <c r="HH19" i="2"/>
  <c r="HI19" i="2"/>
  <c r="HH18" i="2"/>
  <c r="HI18" i="2"/>
  <c r="HH17" i="2"/>
  <c r="HI17" i="2"/>
  <c r="HH16" i="2"/>
  <c r="HI16" i="2"/>
  <c r="HH15" i="2"/>
  <c r="HI15" i="2"/>
  <c r="HH14" i="2"/>
  <c r="HI14" i="2"/>
  <c r="HH13" i="2"/>
  <c r="HI13" i="2"/>
  <c r="GR10" i="2"/>
  <c r="GR7" i="2"/>
  <c r="FY13" i="2"/>
  <c r="FY14" i="2"/>
  <c r="FY15" i="2"/>
  <c r="FY16" i="2"/>
  <c r="FY17" i="2"/>
  <c r="FY18" i="2"/>
  <c r="FY19" i="2"/>
  <c r="FY20" i="2"/>
  <c r="FY21" i="2"/>
  <c r="FY22" i="2"/>
  <c r="FY23" i="2"/>
  <c r="FY24" i="2"/>
  <c r="FY25" i="2"/>
  <c r="FY26" i="2"/>
  <c r="FY27" i="2"/>
  <c r="FY28" i="2"/>
  <c r="FY29" i="2"/>
  <c r="FX13" i="2"/>
  <c r="FX14" i="2"/>
  <c r="FX15" i="2"/>
  <c r="FX16" i="2"/>
  <c r="FX17" i="2"/>
  <c r="FX18" i="2"/>
  <c r="FX19" i="2"/>
  <c r="FX20" i="2"/>
  <c r="FX21" i="2"/>
  <c r="FX22" i="2"/>
  <c r="FX23" i="2"/>
  <c r="FX24" i="2"/>
  <c r="FX25" i="2"/>
  <c r="FX26" i="2"/>
  <c r="FX27" i="2"/>
  <c r="FX28" i="2"/>
  <c r="FX29" i="2"/>
  <c r="GF29" i="2"/>
  <c r="GG29" i="2"/>
  <c r="GF28" i="2"/>
  <c r="GG28" i="2"/>
  <c r="GF27" i="2"/>
  <c r="GG27" i="2"/>
  <c r="GF26" i="2"/>
  <c r="GG26" i="2"/>
  <c r="GF25" i="2"/>
  <c r="GG25" i="2"/>
  <c r="GF24" i="2"/>
  <c r="GG24" i="2"/>
  <c r="GF23" i="2"/>
  <c r="GG23" i="2"/>
  <c r="GF22" i="2"/>
  <c r="GG22" i="2"/>
  <c r="GF21" i="2"/>
  <c r="GG21" i="2"/>
  <c r="GF20" i="2"/>
  <c r="GG20" i="2"/>
  <c r="GF19" i="2"/>
  <c r="GG19" i="2"/>
  <c r="GF18" i="2"/>
  <c r="GG18" i="2"/>
  <c r="GF17" i="2"/>
  <c r="GG17" i="2"/>
  <c r="GF16" i="2"/>
  <c r="GG16" i="2"/>
  <c r="GF15" i="2"/>
  <c r="GG15" i="2"/>
  <c r="GF14" i="2"/>
  <c r="GG14" i="2"/>
  <c r="GF13" i="2"/>
  <c r="GG13" i="2"/>
  <c r="FP10" i="2"/>
  <c r="FP7" i="2"/>
  <c r="EW13" i="2"/>
  <c r="EW14" i="2"/>
  <c r="EW15" i="2"/>
  <c r="EW16" i="2"/>
  <c r="EW17" i="2"/>
  <c r="EW18" i="2"/>
  <c r="EW19" i="2"/>
  <c r="EW20" i="2"/>
  <c r="EW21" i="2"/>
  <c r="EW22" i="2"/>
  <c r="EW23" i="2"/>
  <c r="EW24" i="2"/>
  <c r="EW25" i="2"/>
  <c r="EW26" i="2"/>
  <c r="EW27" i="2"/>
  <c r="EW28" i="2"/>
  <c r="EW29" i="2"/>
  <c r="EV13" i="2"/>
  <c r="EV14" i="2"/>
  <c r="EV15" i="2"/>
  <c r="EV16" i="2"/>
  <c r="EV17" i="2"/>
  <c r="EV18" i="2"/>
  <c r="EV19" i="2"/>
  <c r="EV20" i="2"/>
  <c r="EV21" i="2"/>
  <c r="EV22" i="2"/>
  <c r="EV23" i="2"/>
  <c r="EV24" i="2"/>
  <c r="EV25" i="2"/>
  <c r="EV26" i="2"/>
  <c r="EV27" i="2"/>
  <c r="EV28" i="2"/>
  <c r="EV29" i="2"/>
  <c r="FD29" i="2"/>
  <c r="FE29" i="2"/>
  <c r="FD28" i="2"/>
  <c r="FE28" i="2"/>
  <c r="FD27" i="2"/>
  <c r="FE27" i="2"/>
  <c r="FD26" i="2"/>
  <c r="FE26" i="2"/>
  <c r="FD25" i="2"/>
  <c r="FE25" i="2"/>
  <c r="FD24" i="2"/>
  <c r="FE24" i="2"/>
  <c r="FD23" i="2"/>
  <c r="FE23" i="2"/>
  <c r="FD22" i="2"/>
  <c r="FE22" i="2"/>
  <c r="FD21" i="2"/>
  <c r="FE21" i="2"/>
  <c r="FD20" i="2"/>
  <c r="FE20" i="2"/>
  <c r="FD19" i="2"/>
  <c r="FE19" i="2"/>
  <c r="FD18" i="2"/>
  <c r="FE18" i="2"/>
  <c r="FD17" i="2"/>
  <c r="FE17" i="2"/>
  <c r="FD16" i="2"/>
  <c r="FE16" i="2"/>
  <c r="FD15" i="2"/>
  <c r="FE15" i="2"/>
  <c r="FD14" i="2"/>
  <c r="FE14" i="2"/>
  <c r="FD13" i="2"/>
  <c r="FE13" i="2"/>
  <c r="EN10" i="2"/>
  <c r="EN7" i="2"/>
  <c r="DU13" i="2"/>
  <c r="DU14" i="2"/>
  <c r="DU15" i="2"/>
  <c r="DU16" i="2"/>
  <c r="DU17" i="2"/>
  <c r="DU18" i="2"/>
  <c r="DU19" i="2"/>
  <c r="DU20" i="2"/>
  <c r="DU21" i="2"/>
  <c r="DU22" i="2"/>
  <c r="DU23" i="2"/>
  <c r="DU24" i="2"/>
  <c r="DU25" i="2"/>
  <c r="DU26" i="2"/>
  <c r="DU27" i="2"/>
  <c r="DU28" i="2"/>
  <c r="DU29" i="2"/>
  <c r="DT13" i="2"/>
  <c r="DT14" i="2"/>
  <c r="DT15" i="2"/>
  <c r="DT16" i="2"/>
  <c r="DT17" i="2"/>
  <c r="DT18" i="2"/>
  <c r="DT19" i="2"/>
  <c r="DT20" i="2"/>
  <c r="DT21" i="2"/>
  <c r="DT22" i="2"/>
  <c r="DT23" i="2"/>
  <c r="DT24" i="2"/>
  <c r="DT25" i="2"/>
  <c r="DT26" i="2"/>
  <c r="DT27" i="2"/>
  <c r="DT28" i="2"/>
  <c r="DT29" i="2"/>
  <c r="EB29" i="2"/>
  <c r="EC29" i="2"/>
  <c r="EB28" i="2"/>
  <c r="EC28" i="2"/>
  <c r="EB27" i="2"/>
  <c r="EC27" i="2"/>
  <c r="EB26" i="2"/>
  <c r="EC26" i="2"/>
  <c r="EB25" i="2"/>
  <c r="EC25" i="2"/>
  <c r="EB24" i="2"/>
  <c r="EC24" i="2"/>
  <c r="EB23" i="2"/>
  <c r="EC23" i="2"/>
  <c r="EB22" i="2"/>
  <c r="EC22" i="2"/>
  <c r="EB21" i="2"/>
  <c r="EC21" i="2"/>
  <c r="EB20" i="2"/>
  <c r="EC20" i="2"/>
  <c r="EB19" i="2"/>
  <c r="EC19" i="2"/>
  <c r="EB18" i="2"/>
  <c r="EC18" i="2"/>
  <c r="EB17" i="2"/>
  <c r="EC17" i="2"/>
  <c r="EB16" i="2"/>
  <c r="EC16" i="2"/>
  <c r="EB15" i="2"/>
  <c r="EC15" i="2"/>
  <c r="EB14" i="2"/>
  <c r="EC14" i="2"/>
  <c r="EB13" i="2"/>
  <c r="EC13" i="2"/>
  <c r="DL10" i="2"/>
  <c r="DL7" i="2"/>
  <c r="DA13" i="2"/>
  <c r="DA14" i="2"/>
  <c r="DA15" i="2"/>
  <c r="DA16" i="2"/>
  <c r="DA17" i="2"/>
  <c r="DA18" i="2"/>
  <c r="DA19" i="2"/>
  <c r="DA20" i="2"/>
  <c r="DA21" i="2"/>
  <c r="DA22" i="2"/>
  <c r="DA23" i="2"/>
  <c r="DA24" i="2"/>
  <c r="DA25" i="2"/>
  <c r="DA26" i="2"/>
  <c r="DA27" i="2"/>
  <c r="DA28" i="2"/>
  <c r="DA29" i="2"/>
  <c r="CZ13" i="2"/>
  <c r="CZ14" i="2"/>
  <c r="CZ15" i="2"/>
  <c r="CZ16" i="2"/>
  <c r="CZ17" i="2"/>
  <c r="CZ18" i="2"/>
  <c r="CZ19" i="2"/>
  <c r="CZ20" i="2"/>
  <c r="CZ21" i="2"/>
  <c r="CZ22" i="2"/>
  <c r="CZ23" i="2"/>
  <c r="CZ24" i="2"/>
  <c r="CZ25" i="2"/>
  <c r="CZ26" i="2"/>
  <c r="CZ27" i="2"/>
  <c r="CZ28" i="2"/>
  <c r="CZ29" i="2"/>
  <c r="CS13" i="2"/>
  <c r="CS14" i="2"/>
  <c r="CS15" i="2"/>
  <c r="CS16" i="2"/>
  <c r="CS17" i="2"/>
  <c r="CS18" i="2"/>
  <c r="CS19" i="2"/>
  <c r="CS20" i="2"/>
  <c r="CS21" i="2"/>
  <c r="CS22" i="2"/>
  <c r="CS23" i="2"/>
  <c r="CS24" i="2"/>
  <c r="CS25" i="2"/>
  <c r="CS26" i="2"/>
  <c r="CS27" i="2"/>
  <c r="CS28" i="2"/>
  <c r="CS29" i="2"/>
  <c r="CR13" i="2"/>
  <c r="CR14" i="2"/>
  <c r="CR15" i="2"/>
  <c r="CR16" i="2"/>
  <c r="CR17" i="2"/>
  <c r="CR18" i="2"/>
  <c r="CR19" i="2"/>
  <c r="CR20" i="2"/>
  <c r="CR21" i="2"/>
  <c r="CR22" i="2"/>
  <c r="CR23" i="2"/>
  <c r="CR24" i="2"/>
  <c r="CR25" i="2"/>
  <c r="CR26" i="2"/>
  <c r="CR27" i="2"/>
  <c r="CR28" i="2"/>
  <c r="CR29" i="2"/>
  <c r="CJ10" i="2"/>
  <c r="CJ7" i="2"/>
  <c r="BX13" i="2"/>
  <c r="BY13" i="2"/>
  <c r="BX14" i="2"/>
  <c r="BY14" i="2"/>
  <c r="BX15" i="2"/>
  <c r="BY15" i="2"/>
  <c r="BX16" i="2"/>
  <c r="BY16" i="2"/>
  <c r="BX17" i="2"/>
  <c r="BY17" i="2"/>
  <c r="BX18" i="2"/>
  <c r="BY18" i="2"/>
  <c r="BX19" i="2"/>
  <c r="BY19" i="2"/>
  <c r="BX20" i="2"/>
  <c r="BY20" i="2"/>
  <c r="BX21" i="2"/>
  <c r="BY21" i="2"/>
  <c r="BX22" i="2"/>
  <c r="BY22" i="2"/>
  <c r="BX23" i="2"/>
  <c r="BY23" i="2"/>
  <c r="BX24" i="2"/>
  <c r="BY24" i="2"/>
  <c r="BX25" i="2"/>
  <c r="BY25" i="2"/>
  <c r="BX26" i="2"/>
  <c r="BY26" i="2"/>
  <c r="BX27" i="2"/>
  <c r="BY27" i="2"/>
  <c r="BX28" i="2"/>
  <c r="BY28" i="2"/>
  <c r="BX29" i="2"/>
  <c r="BY29" i="2"/>
  <c r="BT17" i="2"/>
  <c r="BT18" i="2"/>
  <c r="BT19" i="2"/>
  <c r="BT20" i="2"/>
  <c r="BT21" i="2"/>
  <c r="BT22" i="2"/>
  <c r="BT23" i="2"/>
  <c r="BT24" i="2"/>
  <c r="BT25" i="2"/>
  <c r="BT26" i="2"/>
  <c r="BT27" i="2"/>
  <c r="BT28" i="2"/>
  <c r="BT29" i="2"/>
  <c r="BS17" i="2"/>
  <c r="BS18" i="2"/>
  <c r="BS19" i="2"/>
  <c r="BS20" i="2"/>
  <c r="BS21" i="2"/>
  <c r="BS22" i="2"/>
  <c r="BS23" i="2"/>
  <c r="BS24" i="2"/>
  <c r="BS25" i="2"/>
  <c r="BS26" i="2"/>
  <c r="BS27" i="2"/>
  <c r="BS28" i="2"/>
  <c r="BS29" i="2"/>
  <c r="BQ13" i="2"/>
  <c r="BQ14" i="2"/>
  <c r="BQ15" i="2"/>
  <c r="BQ16" i="2"/>
  <c r="BQ17" i="2"/>
  <c r="BQ18" i="2"/>
  <c r="BQ19" i="2"/>
  <c r="BQ20" i="2"/>
  <c r="BQ21" i="2"/>
  <c r="BQ22" i="2"/>
  <c r="BQ23" i="2"/>
  <c r="BQ24" i="2"/>
  <c r="BQ25" i="2"/>
  <c r="BQ26" i="2"/>
  <c r="BQ27" i="2"/>
  <c r="BQ28" i="2"/>
  <c r="BQ29" i="2"/>
  <c r="BP13" i="2"/>
  <c r="BP14" i="2"/>
  <c r="BP15" i="2"/>
  <c r="BP16" i="2"/>
  <c r="BP17" i="2"/>
  <c r="BP18" i="2"/>
  <c r="BP19" i="2"/>
  <c r="BP20" i="2"/>
  <c r="BP21" i="2"/>
  <c r="BP22" i="2"/>
  <c r="BP23" i="2"/>
  <c r="BP24" i="2"/>
  <c r="BP25" i="2"/>
  <c r="BP26" i="2"/>
  <c r="BP27" i="2"/>
  <c r="BP28" i="2"/>
  <c r="BP29" i="2"/>
  <c r="I9" i="2"/>
  <c r="I10" i="2"/>
  <c r="I11" i="2"/>
  <c r="Z11" i="2"/>
  <c r="H17" i="2"/>
  <c r="H18" i="2"/>
  <c r="H19" i="2"/>
  <c r="H20" i="2"/>
  <c r="H21" i="2"/>
  <c r="H22" i="2"/>
  <c r="H23" i="2"/>
  <c r="H24" i="2"/>
  <c r="H25" i="2"/>
  <c r="H26" i="2"/>
  <c r="H27" i="2"/>
  <c r="H28" i="2"/>
  <c r="H29" i="2"/>
  <c r="BH10" i="2"/>
  <c r="BH7" i="2"/>
  <c r="R8" i="2"/>
  <c r="Z8" i="2"/>
  <c r="Z9" i="2"/>
  <c r="Z10" i="2"/>
  <c r="Z12" i="2"/>
  <c r="Z13" i="2"/>
  <c r="Z14" i="2"/>
  <c r="Z15" i="2"/>
  <c r="Z16" i="2"/>
  <c r="R7" i="2"/>
  <c r="R9" i="2"/>
  <c r="R10" i="2"/>
  <c r="R11" i="2"/>
  <c r="R12" i="2"/>
  <c r="AH7" i="2"/>
  <c r="AH10" i="2"/>
  <c r="A3" i="12"/>
  <c r="A4" i="12"/>
  <c r="A5" i="12"/>
  <c r="A6" i="12"/>
  <c r="A7" i="12"/>
  <c r="A8" i="12"/>
  <c r="A9" i="12"/>
  <c r="A10" i="12"/>
  <c r="A11" i="12"/>
  <c r="A12" i="12"/>
  <c r="A13" i="12"/>
  <c r="A14" i="12"/>
  <c r="A15" i="12"/>
  <c r="A16" i="12"/>
  <c r="A17" i="12"/>
  <c r="A18" i="12"/>
  <c r="A19" i="12"/>
  <c r="C1" i="12"/>
  <c r="D1" i="12"/>
  <c r="E1" i="12"/>
  <c r="F1" i="12"/>
  <c r="G1" i="12"/>
  <c r="H1" i="12"/>
  <c r="I1" i="12"/>
  <c r="J1" i="12"/>
  <c r="K1" i="12"/>
  <c r="L1" i="12"/>
  <c r="M1" i="12"/>
  <c r="N1" i="12"/>
  <c r="O1" i="12"/>
  <c r="P1" i="12"/>
  <c r="Q1" i="12"/>
  <c r="J12" i="11"/>
  <c r="J11" i="11"/>
  <c r="J10" i="11"/>
  <c r="J9" i="11"/>
  <c r="J7" i="11"/>
  <c r="J8" i="11"/>
  <c r="Z9" i="5"/>
  <c r="AV9" i="5"/>
  <c r="AW9" i="5"/>
  <c r="AX9" i="5"/>
  <c r="Z8" i="5"/>
  <c r="AV8" i="5"/>
  <c r="AW8" i="5"/>
  <c r="AX8" i="5"/>
  <c r="Z7" i="5"/>
  <c r="AV7" i="5"/>
  <c r="AW7" i="5"/>
  <c r="AX7" i="5"/>
  <c r="Z6" i="5"/>
  <c r="AV6" i="5"/>
  <c r="AW6" i="5"/>
  <c r="AX6" i="5"/>
  <c r="Z5" i="5"/>
  <c r="AV5" i="5"/>
  <c r="AW5" i="5"/>
  <c r="AX5" i="5"/>
  <c r="Z4" i="5"/>
  <c r="AV4" i="5"/>
  <c r="AW4" i="5"/>
  <c r="AX4" i="5"/>
  <c r="AU5" i="5"/>
  <c r="AU6" i="5"/>
  <c r="AU7" i="5"/>
  <c r="AU8" i="5"/>
  <c r="AU9" i="5"/>
  <c r="AA5" i="5"/>
  <c r="AB5" i="5"/>
  <c r="AC5" i="5"/>
  <c r="AD5" i="5"/>
  <c r="AE5" i="5"/>
  <c r="AF5" i="5"/>
  <c r="AG5" i="5"/>
  <c r="AH5" i="5"/>
  <c r="AI5" i="5"/>
  <c r="AJ5" i="5"/>
  <c r="AK5" i="5"/>
  <c r="AL5" i="5"/>
  <c r="AM5" i="5"/>
  <c r="AN5" i="5"/>
  <c r="AO5" i="5"/>
  <c r="AP5" i="5"/>
  <c r="AQ5" i="5"/>
  <c r="AR5" i="5"/>
  <c r="AS5" i="5"/>
  <c r="AT5" i="5"/>
  <c r="AA6" i="5"/>
  <c r="AB6" i="5"/>
  <c r="AC6" i="5"/>
  <c r="AD6" i="5"/>
  <c r="AE6" i="5"/>
  <c r="AF6" i="5"/>
  <c r="AG6" i="5"/>
  <c r="AH6" i="5"/>
  <c r="AI6" i="5"/>
  <c r="AJ6" i="5"/>
  <c r="AK6" i="5"/>
  <c r="AL6" i="5"/>
  <c r="AM6" i="5"/>
  <c r="AN6" i="5"/>
  <c r="AO6" i="5"/>
  <c r="AP6" i="5"/>
  <c r="AQ6" i="5"/>
  <c r="AR6" i="5"/>
  <c r="AS6" i="5"/>
  <c r="AT6" i="5"/>
  <c r="AA7" i="5"/>
  <c r="AB7" i="5"/>
  <c r="AC7" i="5"/>
  <c r="AD7" i="5"/>
  <c r="AE7" i="5"/>
  <c r="AF7" i="5"/>
  <c r="AG7" i="5"/>
  <c r="AH7" i="5"/>
  <c r="AI7" i="5"/>
  <c r="AJ7" i="5"/>
  <c r="AK7" i="5"/>
  <c r="AL7" i="5"/>
  <c r="AM7" i="5"/>
  <c r="AN7" i="5"/>
  <c r="AO7" i="5"/>
  <c r="AP7" i="5"/>
  <c r="AQ7" i="5"/>
  <c r="AR7" i="5"/>
  <c r="AS7" i="5"/>
  <c r="AT7" i="5"/>
  <c r="AA8" i="5"/>
  <c r="AB8" i="5"/>
  <c r="AC8" i="5"/>
  <c r="AD8" i="5"/>
  <c r="AE8" i="5"/>
  <c r="AF8" i="5"/>
  <c r="AG8" i="5"/>
  <c r="AH8" i="5"/>
  <c r="AI8" i="5"/>
  <c r="AJ8" i="5"/>
  <c r="AK8" i="5"/>
  <c r="AL8" i="5"/>
  <c r="AM8" i="5"/>
  <c r="AN8" i="5"/>
  <c r="AO8" i="5"/>
  <c r="AP8" i="5"/>
  <c r="AQ8" i="5"/>
  <c r="AR8" i="5"/>
  <c r="AS8" i="5"/>
  <c r="AT8" i="5"/>
  <c r="AA9" i="5"/>
  <c r="AB9" i="5"/>
  <c r="AC9" i="5"/>
  <c r="AD9" i="5"/>
  <c r="AE9" i="5"/>
  <c r="AF9" i="5"/>
  <c r="AG9" i="5"/>
  <c r="AH9" i="5"/>
  <c r="AI9" i="5"/>
  <c r="AJ9" i="5"/>
  <c r="AK9" i="5"/>
  <c r="AL9" i="5"/>
  <c r="AM9" i="5"/>
  <c r="AN9" i="5"/>
  <c r="AO9" i="5"/>
  <c r="AP9" i="5"/>
  <c r="AQ9" i="5"/>
  <c r="AR9" i="5"/>
  <c r="AS9" i="5"/>
  <c r="AT9" i="5"/>
  <c r="AB4" i="5"/>
  <c r="AC4" i="5"/>
  <c r="AD4" i="5"/>
  <c r="AE4" i="5"/>
  <c r="AF4" i="5"/>
  <c r="AG4" i="5"/>
  <c r="AH4" i="5"/>
  <c r="AI4" i="5"/>
  <c r="AJ4" i="5"/>
  <c r="AK4" i="5"/>
  <c r="AL4" i="5"/>
  <c r="AM4" i="5"/>
  <c r="AN4" i="5"/>
  <c r="AO4" i="5"/>
  <c r="AP4" i="5"/>
  <c r="AQ4" i="5"/>
  <c r="AR4" i="5"/>
  <c r="AS4" i="5"/>
  <c r="AT4" i="5"/>
  <c r="AU4" i="5"/>
  <c r="AA4" i="5"/>
  <c r="C2" i="5"/>
  <c r="D2" i="5"/>
  <c r="E2" i="5"/>
  <c r="F2" i="5"/>
  <c r="G2" i="5"/>
  <c r="H2" i="5"/>
  <c r="I2" i="5"/>
  <c r="J2" i="5"/>
  <c r="K2" i="5"/>
  <c r="L2" i="5"/>
  <c r="M2" i="5"/>
  <c r="N2" i="5"/>
  <c r="O2" i="5"/>
  <c r="P2" i="5"/>
  <c r="Q2" i="5"/>
  <c r="R2" i="5"/>
  <c r="S2" i="5"/>
  <c r="T2" i="5"/>
  <c r="U2" i="5"/>
  <c r="V2" i="5"/>
  <c r="C35" i="1"/>
  <c r="C34" i="1"/>
  <c r="C33" i="1"/>
  <c r="C32" i="1"/>
  <c r="C31" i="1"/>
  <c r="C30" i="1"/>
  <c r="AC14" i="2"/>
  <c r="N7" i="13"/>
  <c r="J7" i="8"/>
  <c r="K10" i="11"/>
  <c r="N8" i="13"/>
  <c r="AA14" i="2"/>
  <c r="U9" i="2"/>
  <c r="U10" i="2"/>
  <c r="D10" i="1"/>
  <c r="AC8" i="2"/>
  <c r="G10" i="1"/>
  <c r="AC15" i="2"/>
  <c r="AC11" i="2"/>
  <c r="U7" i="2"/>
  <c r="K9" i="11"/>
  <c r="AA13" i="2"/>
  <c r="AC7" i="2"/>
  <c r="AC9" i="2"/>
  <c r="G7" i="1"/>
  <c r="N11" i="13"/>
  <c r="D11" i="1"/>
  <c r="N9" i="13"/>
  <c r="AA10" i="2"/>
  <c r="AC16" i="2"/>
  <c r="G6" i="1"/>
  <c r="U11" i="2"/>
  <c r="N12" i="13"/>
  <c r="J12" i="8"/>
  <c r="AA9" i="2"/>
  <c r="G9" i="1"/>
  <c r="AC13" i="2"/>
  <c r="AA8" i="2"/>
  <c r="AC10" i="2"/>
  <c r="D9" i="1"/>
  <c r="U8" i="2"/>
  <c r="K11" i="11"/>
  <c r="J8" i="8"/>
  <c r="G11" i="1"/>
  <c r="AA15" i="2"/>
  <c r="K8" i="11"/>
  <c r="U12" i="2"/>
  <c r="AC12" i="2"/>
  <c r="J10" i="8"/>
  <c r="AA16" i="2"/>
  <c r="AA11" i="2"/>
  <c r="D8" i="1"/>
  <c r="J6" i="1"/>
  <c r="G8" i="1"/>
  <c r="R13" i="1"/>
  <c r="J9" i="8"/>
  <c r="J8" i="1"/>
  <c r="J11" i="8"/>
  <c r="Q7" i="11"/>
  <c r="N10" i="13"/>
  <c r="R7" i="1"/>
  <c r="AA7" i="2"/>
  <c r="K12" i="11"/>
  <c r="AA12" i="2"/>
  <c r="P7" i="11"/>
  <c r="S12" i="11"/>
  <c r="S9" i="11"/>
  <c r="S8" i="11"/>
  <c r="S7" i="11"/>
  <c r="S11" i="11"/>
  <c r="R8" i="11"/>
  <c r="R11" i="11"/>
  <c r="W7" i="11"/>
  <c r="R9" i="11"/>
  <c r="R12" i="11"/>
  <c r="V7" i="11"/>
  <c r="R7" i="11"/>
  <c r="R10" i="11"/>
  <c r="Y9" i="11"/>
  <c r="Y11" i="11"/>
  <c r="Y10" i="11"/>
  <c r="Y7" i="11"/>
  <c r="Y8" i="11"/>
  <c r="Y12" i="11"/>
  <c r="K2" i="14"/>
  <c r="K2" i="16"/>
  <c r="K3" i="14"/>
  <c r="K3" i="16"/>
  <c r="GE7" i="13"/>
  <c r="EE7" i="13"/>
  <c r="ME7" i="13"/>
  <c r="OE7" i="13"/>
  <c r="IE7" i="13"/>
  <c r="KE7" i="13"/>
  <c r="K7" i="13"/>
  <c r="AX15" i="2"/>
  <c r="BZ19" i="2"/>
  <c r="BZ15" i="2"/>
  <c r="DB19" i="2"/>
  <c r="HJ27" i="2"/>
  <c r="IL15" i="2"/>
  <c r="JN20" i="2"/>
  <c r="AA11" i="11"/>
  <c r="AA9" i="11"/>
  <c r="AA8" i="11"/>
  <c r="AA12" i="11"/>
  <c r="AA10" i="11"/>
  <c r="AA7" i="11"/>
  <c r="U11" i="11"/>
  <c r="U8" i="11"/>
  <c r="U9" i="11"/>
  <c r="U12" i="11"/>
  <c r="U7" i="11"/>
  <c r="T9" i="11"/>
  <c r="T12" i="11"/>
  <c r="T10" i="11"/>
  <c r="T11" i="11"/>
  <c r="T8" i="11"/>
  <c r="T7" i="11"/>
  <c r="GH16" i="2"/>
  <c r="EF19" i="2"/>
  <c r="EF27" i="2"/>
  <c r="AZ14" i="2"/>
  <c r="FF29" i="2"/>
  <c r="IN25" i="2"/>
  <c r="AZ15" i="2"/>
  <c r="BZ26" i="2"/>
  <c r="BZ20" i="2"/>
  <c r="IN17" i="2"/>
  <c r="IN29" i="2"/>
  <c r="FH24" i="2"/>
  <c r="DD18" i="2"/>
  <c r="DD28" i="2"/>
  <c r="BZ13" i="2"/>
  <c r="IN21" i="2"/>
  <c r="IN27" i="2"/>
  <c r="AX14" i="2"/>
  <c r="BZ14" i="2"/>
  <c r="JN17" i="2"/>
  <c r="HL14" i="2"/>
  <c r="HL16" i="2"/>
  <c r="GJ26" i="2"/>
  <c r="GJ28" i="2"/>
  <c r="GJ15" i="2"/>
  <c r="FH25" i="2"/>
  <c r="EF28" i="2"/>
  <c r="DD25" i="2"/>
  <c r="DD21" i="2"/>
  <c r="DD29" i="2"/>
  <c r="AX13" i="2"/>
  <c r="AZ16" i="2"/>
  <c r="DB29" i="2"/>
  <c r="DB17" i="2"/>
  <c r="FF22" i="2"/>
  <c r="FF26" i="2"/>
  <c r="FH23" i="2"/>
  <c r="FH19" i="2"/>
  <c r="EF22" i="2"/>
  <c r="CB14" i="2"/>
  <c r="GH19" i="2"/>
  <c r="IL24" i="2"/>
  <c r="EF26" i="2"/>
  <c r="DD27" i="2"/>
  <c r="CB13" i="2"/>
  <c r="AZ13" i="2"/>
  <c r="BZ29" i="2"/>
  <c r="BZ27" i="2"/>
  <c r="BZ21" i="2"/>
  <c r="ED15" i="2"/>
  <c r="ED17" i="2"/>
  <c r="ED21" i="2"/>
  <c r="HJ20" i="2"/>
  <c r="HJ24" i="2"/>
  <c r="IL20" i="2"/>
  <c r="JN16" i="2"/>
  <c r="JN26" i="2"/>
  <c r="HL13" i="2"/>
  <c r="EF16" i="2"/>
  <c r="DD24" i="2"/>
  <c r="DD22" i="2"/>
  <c r="AX16" i="2"/>
  <c r="BZ28" i="2"/>
  <c r="BZ24" i="2"/>
  <c r="BZ22" i="2"/>
  <c r="ED14" i="2"/>
  <c r="ED24" i="2"/>
  <c r="ED28" i="2"/>
  <c r="FF19" i="2"/>
  <c r="IL17" i="2"/>
  <c r="IL26" i="2"/>
  <c r="IL28" i="2"/>
  <c r="JN15" i="2"/>
  <c r="JN25" i="2"/>
  <c r="JN29" i="2"/>
  <c r="IN22" i="2"/>
  <c r="IN20" i="2"/>
  <c r="IN26" i="2"/>
  <c r="IN13" i="2"/>
  <c r="FH20" i="2"/>
  <c r="FH18" i="2"/>
  <c r="FH15" i="2"/>
  <c r="EF25" i="2"/>
  <c r="EF23" i="2"/>
  <c r="DB14" i="2"/>
  <c r="GH20" i="2"/>
  <c r="GH22" i="2"/>
  <c r="GH24" i="2"/>
  <c r="GH26" i="2"/>
  <c r="HJ13" i="2"/>
  <c r="DB26" i="2"/>
  <c r="DB22" i="2"/>
  <c r="DB18" i="2"/>
  <c r="FF13" i="2"/>
  <c r="FF17" i="2"/>
  <c r="FF20" i="2"/>
  <c r="GH21" i="2"/>
  <c r="GH25" i="2"/>
  <c r="HJ19" i="2"/>
  <c r="HJ21" i="2"/>
  <c r="HJ23" i="2"/>
  <c r="HJ25" i="2"/>
  <c r="IL23" i="2"/>
  <c r="IL29" i="2"/>
  <c r="JN21" i="2"/>
  <c r="JN23" i="2"/>
  <c r="IN24" i="2"/>
  <c r="IN19" i="2"/>
  <c r="GJ13" i="2"/>
  <c r="FH22" i="2"/>
  <c r="EF20" i="2"/>
  <c r="EF18" i="2"/>
  <c r="EF29" i="2"/>
  <c r="EF14" i="2"/>
  <c r="DD19" i="2"/>
  <c r="DD17" i="2"/>
  <c r="DD13" i="2"/>
  <c r="DD15" i="2"/>
  <c r="CB25" i="2"/>
  <c r="CB23" i="2"/>
  <c r="CB21" i="2"/>
  <c r="CB19" i="2"/>
  <c r="CB17" i="2"/>
  <c r="CB27" i="2"/>
  <c r="CB29" i="2"/>
  <c r="BZ25" i="2"/>
  <c r="BZ23" i="2"/>
  <c r="BZ18" i="2"/>
  <c r="BZ16" i="2"/>
  <c r="DB25" i="2"/>
  <c r="DB21" i="2"/>
  <c r="DB13" i="2"/>
  <c r="ED27" i="2"/>
  <c r="FF21" i="2"/>
  <c r="FF23" i="2"/>
  <c r="FF25" i="2"/>
  <c r="FF27" i="2"/>
  <c r="GH28" i="2"/>
  <c r="HJ18" i="2"/>
  <c r="IL14" i="2"/>
  <c r="IL16" i="2"/>
  <c r="IL18" i="2"/>
  <c r="JN18" i="2"/>
  <c r="JN24" i="2"/>
  <c r="JN28" i="2"/>
  <c r="IN18" i="2"/>
  <c r="IN14" i="2"/>
  <c r="IN16" i="2"/>
  <c r="HL24" i="2"/>
  <c r="HL22" i="2"/>
  <c r="HL20" i="2"/>
  <c r="HL18" i="2"/>
  <c r="HL26" i="2"/>
  <c r="HL28" i="2"/>
  <c r="GJ14" i="2"/>
  <c r="FH21" i="2"/>
  <c r="EF21" i="2"/>
  <c r="EF15" i="2"/>
  <c r="DD20" i="2"/>
  <c r="DD16" i="2"/>
  <c r="CB24" i="2"/>
  <c r="CB22" i="2"/>
  <c r="CB20" i="2"/>
  <c r="CB18" i="2"/>
  <c r="CB26" i="2"/>
  <c r="CB28" i="2"/>
  <c r="CB16" i="2"/>
  <c r="IN23" i="2"/>
  <c r="IN28" i="2"/>
  <c r="FH17" i="2"/>
  <c r="FH14" i="2"/>
  <c r="EF24" i="2"/>
  <c r="EF17" i="2"/>
  <c r="DD23" i="2"/>
  <c r="DD26" i="2"/>
  <c r="DB27" i="2"/>
  <c r="ED13" i="2"/>
  <c r="ED16" i="2"/>
  <c r="ED18" i="2"/>
  <c r="ED20" i="2"/>
  <c r="ED22" i="2"/>
  <c r="ED26" i="2"/>
  <c r="ED29" i="2"/>
  <c r="FF14" i="2"/>
  <c r="FF18" i="2"/>
  <c r="FF28" i="2"/>
  <c r="GH15" i="2"/>
  <c r="GH18" i="2"/>
  <c r="GH27" i="2"/>
  <c r="GH29" i="2"/>
  <c r="HJ15" i="2"/>
  <c r="HJ17" i="2"/>
  <c r="HJ26" i="2"/>
  <c r="HJ28" i="2"/>
  <c r="IL19" i="2"/>
  <c r="IL21" i="2"/>
  <c r="JN19" i="2"/>
  <c r="JN22" i="2"/>
  <c r="JN27" i="2"/>
  <c r="HL25" i="2"/>
  <c r="HL23" i="2"/>
  <c r="HL21" i="2"/>
  <c r="HL19" i="2"/>
  <c r="HL17" i="2"/>
  <c r="HL27" i="2"/>
  <c r="HL29" i="2"/>
  <c r="GJ27" i="2"/>
  <c r="GJ29" i="2"/>
  <c r="EF13" i="2"/>
  <c r="DD14" i="2"/>
  <c r="DB28" i="2"/>
  <c r="DB24" i="2"/>
  <c r="DB20" i="2"/>
  <c r="DB16" i="2"/>
  <c r="ED19" i="2"/>
  <c r="ED23" i="2"/>
  <c r="GH17" i="2"/>
  <c r="HJ16" i="2"/>
  <c r="IL25" i="2"/>
  <c r="DB23" i="2"/>
  <c r="DB15" i="2"/>
  <c r="FF15" i="2"/>
  <c r="GH14" i="2"/>
  <c r="GH23" i="2"/>
  <c r="HJ29" i="2"/>
  <c r="IL22" i="2"/>
  <c r="IL27" i="2"/>
  <c r="JN14" i="2"/>
  <c r="IN15" i="2"/>
  <c r="FH26" i="2"/>
  <c r="FH28" i="2"/>
  <c r="FH13" i="2"/>
  <c r="FH16" i="2"/>
  <c r="BZ17" i="2"/>
  <c r="ED25" i="2"/>
  <c r="FF16" i="2"/>
  <c r="FF24" i="2"/>
  <c r="GH13" i="2"/>
  <c r="HJ14" i="2"/>
  <c r="HJ22" i="2"/>
  <c r="IL13" i="2"/>
  <c r="HL15" i="2"/>
  <c r="GJ25" i="2"/>
  <c r="GJ23" i="2"/>
  <c r="GJ21" i="2"/>
  <c r="GJ19" i="2"/>
  <c r="GJ17" i="2"/>
  <c r="JN13" i="2"/>
  <c r="GJ24" i="2"/>
  <c r="GJ22" i="2"/>
  <c r="GJ20" i="2"/>
  <c r="GJ18" i="2"/>
  <c r="CB15" i="2"/>
  <c r="GJ16" i="2"/>
  <c r="FH27" i="2"/>
  <c r="FH29" i="2"/>
  <c r="G12" i="1"/>
  <c r="V7" i="2"/>
  <c r="V9" i="2"/>
  <c r="L6" i="1"/>
  <c r="K6" i="1"/>
  <c r="D12" i="1"/>
  <c r="L11" i="1"/>
  <c r="K11" i="1"/>
  <c r="L9" i="1"/>
  <c r="K9" i="1"/>
  <c r="E12" i="1"/>
  <c r="K8" i="1"/>
  <c r="L8" i="1"/>
  <c r="L10" i="1"/>
  <c r="K10" i="1"/>
  <c r="L7" i="1"/>
  <c r="K7" i="1"/>
  <c r="AT14" i="2"/>
  <c r="GA14" i="2"/>
  <c r="AS14" i="2"/>
  <c r="V10" i="2"/>
  <c r="AS16" i="2"/>
  <c r="AT16" i="2"/>
  <c r="V11" i="2"/>
  <c r="AT15" i="2"/>
  <c r="AS15" i="2"/>
  <c r="AT13" i="2"/>
  <c r="AS13" i="2"/>
  <c r="V12" i="2"/>
  <c r="V8" i="2"/>
  <c r="DF18" i="2"/>
  <c r="DG13" i="2"/>
  <c r="FK16" i="2"/>
  <c r="EI16" i="2"/>
  <c r="CE20" i="2"/>
  <c r="CD25" i="2"/>
  <c r="CD15" i="2"/>
  <c r="IP28" i="2"/>
  <c r="IP15" i="2"/>
  <c r="GL13" i="2"/>
  <c r="IP29" i="2"/>
  <c r="BB13" i="2"/>
  <c r="CE26" i="2"/>
  <c r="FK27" i="2"/>
  <c r="GM22" i="2"/>
  <c r="DF19" i="2"/>
  <c r="FK24" i="2"/>
  <c r="EH20" i="2"/>
  <c r="FJ28" i="2"/>
  <c r="EH25" i="2"/>
  <c r="CE24" i="2"/>
  <c r="GM16" i="2"/>
  <c r="GM13" i="2"/>
  <c r="DF15" i="2"/>
  <c r="IP20" i="2"/>
  <c r="FK23" i="2"/>
  <c r="DG21" i="2"/>
  <c r="DF24" i="2"/>
  <c r="HN28" i="2"/>
  <c r="IQ20" i="2"/>
  <c r="CE19" i="2"/>
  <c r="FK18" i="2"/>
  <c r="EI23" i="2"/>
  <c r="HN16" i="2"/>
  <c r="FJ24" i="2"/>
  <c r="IQ17" i="2"/>
  <c r="DG25" i="2"/>
  <c r="FJ18" i="2"/>
  <c r="IP14" i="2"/>
  <c r="CD26" i="2"/>
  <c r="IQ25" i="2"/>
  <c r="HO17" i="2"/>
  <c r="FJ27" i="2"/>
  <c r="DG29" i="2"/>
  <c r="HN25" i="2"/>
  <c r="EH16" i="2"/>
  <c r="DG23" i="2"/>
  <c r="EI21" i="2"/>
  <c r="IP23" i="2"/>
  <c r="FJ22" i="2"/>
  <c r="IP25" i="2"/>
  <c r="CD29" i="2"/>
  <c r="DF26" i="2"/>
  <c r="HN17" i="2"/>
  <c r="FK19" i="2"/>
  <c r="GM15" i="2"/>
  <c r="CE28" i="2"/>
  <c r="GM26" i="2"/>
  <c r="FK14" i="2"/>
  <c r="BB15" i="2"/>
  <c r="EH22" i="2"/>
  <c r="CE21" i="2"/>
  <c r="IP17" i="2"/>
  <c r="CE25" i="2"/>
  <c r="FJ20" i="2"/>
  <c r="FJ23" i="2"/>
  <c r="EH28" i="2"/>
  <c r="DG16" i="2"/>
  <c r="CE16" i="2"/>
  <c r="IQ27" i="2"/>
  <c r="HN22" i="2"/>
  <c r="GM25" i="2"/>
  <c r="CD18" i="2"/>
  <c r="EI29" i="2"/>
  <c r="IQ13" i="2"/>
  <c r="CE22" i="2"/>
  <c r="HO14" i="2"/>
  <c r="DF25" i="2"/>
  <c r="IP21" i="2"/>
  <c r="GL15" i="2"/>
  <c r="GL22" i="2"/>
  <c r="HN26" i="2"/>
  <c r="FJ17" i="2"/>
  <c r="HO25" i="2"/>
  <c r="HN18" i="2"/>
  <c r="CD20" i="2"/>
  <c r="CE29" i="2"/>
  <c r="HN24" i="2"/>
  <c r="EI14" i="2"/>
  <c r="DF21" i="2"/>
  <c r="CD16" i="2"/>
  <c r="GL18" i="2"/>
  <c r="GL25" i="2"/>
  <c r="EH19" i="2"/>
  <c r="EH26" i="2"/>
  <c r="FK15" i="2"/>
  <c r="HN15" i="2"/>
  <c r="IQ18" i="2"/>
  <c r="HN29" i="2"/>
  <c r="IP22" i="2"/>
  <c r="CD27" i="2"/>
  <c r="GM18" i="2"/>
  <c r="CE23" i="2"/>
  <c r="EI13" i="2"/>
  <c r="HO27" i="2"/>
  <c r="GM24" i="2"/>
  <c r="IQ26" i="2"/>
  <c r="CD21" i="2"/>
  <c r="CD23" i="2"/>
  <c r="CD14" i="2"/>
  <c r="HO22" i="2"/>
  <c r="HN20" i="2"/>
  <c r="EI22" i="2"/>
  <c r="HO15" i="2"/>
  <c r="HO28" i="2"/>
  <c r="DG15" i="2"/>
  <c r="FJ16" i="2"/>
  <c r="HO19" i="2"/>
  <c r="GL26" i="2"/>
  <c r="GM29" i="2"/>
  <c r="IP27" i="2"/>
  <c r="IQ24" i="2"/>
  <c r="GL14" i="2"/>
  <c r="BC15" i="2"/>
  <c r="IQ22" i="2"/>
  <c r="EI27" i="2"/>
  <c r="HN13" i="2"/>
  <c r="CE13" i="2"/>
  <c r="IQ23" i="2"/>
  <c r="FJ21" i="2"/>
  <c r="FK20" i="2"/>
  <c r="EH18" i="2"/>
  <c r="GL20" i="2"/>
  <c r="CD28" i="2"/>
  <c r="CD13" i="2"/>
  <c r="GL19" i="2"/>
  <c r="GM19" i="2"/>
  <c r="EI28" i="2"/>
  <c r="DG24" i="2"/>
  <c r="EH13" i="2"/>
  <c r="GL27" i="2"/>
  <c r="DF14" i="2"/>
  <c r="EI26" i="2"/>
  <c r="DG27" i="2"/>
  <c r="HN21" i="2"/>
  <c r="IP24" i="2"/>
  <c r="EI24" i="2"/>
  <c r="DF20" i="2"/>
  <c r="FJ25" i="2"/>
  <c r="EI20" i="2"/>
  <c r="HN14" i="2"/>
  <c r="CD19" i="2"/>
  <c r="FK25" i="2"/>
  <c r="DF16" i="2"/>
  <c r="FJ29" i="2"/>
  <c r="DF28" i="2"/>
  <c r="DF17" i="2"/>
  <c r="IQ21" i="2"/>
  <c r="HO16" i="2"/>
  <c r="GM17" i="2"/>
  <c r="IQ28" i="2"/>
  <c r="DG14" i="2"/>
  <c r="IP16" i="2"/>
  <c r="IP26" i="2"/>
  <c r="DG26" i="2"/>
  <c r="DG18" i="2"/>
  <c r="FJ13" i="2"/>
  <c r="HO24" i="2"/>
  <c r="DF29" i="2"/>
  <c r="HO29" i="2"/>
  <c r="EH17" i="2"/>
  <c r="HO23" i="2"/>
  <c r="EH23" i="2"/>
  <c r="IQ29" i="2"/>
  <c r="EH21" i="2"/>
  <c r="HN23" i="2"/>
  <c r="IQ15" i="2"/>
  <c r="FK26" i="2"/>
  <c r="IP13" i="2"/>
  <c r="IP19" i="2"/>
  <c r="EI17" i="2"/>
  <c r="HN19" i="2"/>
  <c r="DG20" i="2"/>
  <c r="GL16" i="2"/>
  <c r="EI18" i="2"/>
  <c r="GL28" i="2"/>
  <c r="GM21" i="2"/>
  <c r="GL23" i="2"/>
  <c r="GL21" i="2"/>
  <c r="FJ19" i="2"/>
  <c r="BC14" i="2"/>
  <c r="EI19" i="2"/>
  <c r="FK21" i="2"/>
  <c r="BB16" i="2"/>
  <c r="BC16" i="2"/>
  <c r="BC13" i="2"/>
  <c r="CE27" i="2"/>
  <c r="FK13" i="2"/>
  <c r="HO20" i="2"/>
  <c r="GM27" i="2"/>
  <c r="EH27" i="2"/>
  <c r="HO13" i="2"/>
  <c r="HO26" i="2"/>
  <c r="HO21" i="2"/>
  <c r="FK28" i="2"/>
  <c r="FK29" i="2"/>
  <c r="HN27" i="2"/>
  <c r="EH15" i="2"/>
  <c r="HO18" i="2"/>
  <c r="GM20" i="2"/>
  <c r="EH29" i="2"/>
  <c r="CD24" i="2"/>
  <c r="EH24" i="2"/>
  <c r="DF23" i="2"/>
  <c r="GL29" i="2"/>
  <c r="EI15" i="2"/>
  <c r="DG22" i="2"/>
  <c r="EI25" i="2"/>
  <c r="CD17" i="2"/>
  <c r="FJ15" i="2"/>
  <c r="IQ14" i="2"/>
  <c r="GM23" i="2"/>
  <c r="DF22" i="2"/>
  <c r="EH14" i="2"/>
  <c r="DF27" i="2"/>
  <c r="IP18" i="2"/>
  <c r="DG19" i="2"/>
  <c r="CE17" i="2"/>
  <c r="DG17" i="2"/>
  <c r="CD22" i="2"/>
  <c r="FK22" i="2"/>
  <c r="GL24" i="2"/>
  <c r="FK17" i="2"/>
  <c r="CE14" i="2"/>
  <c r="BB14" i="2"/>
  <c r="GL17" i="2"/>
  <c r="DF13" i="2"/>
  <c r="CE15" i="2"/>
  <c r="GM28" i="2"/>
  <c r="GM14" i="2"/>
  <c r="IQ16" i="2"/>
  <c r="DG28" i="2"/>
  <c r="FJ26" i="2"/>
  <c r="IQ19" i="2"/>
  <c r="CE18" i="2"/>
  <c r="R5" i="1"/>
  <c r="R15" i="1"/>
  <c r="K7" i="8"/>
  <c r="R11" i="1"/>
  <c r="S10" i="11"/>
  <c r="N12" i="8"/>
  <c r="M10" i="8"/>
  <c r="N9" i="8"/>
  <c r="M8" i="8"/>
  <c r="L12" i="8"/>
  <c r="L9" i="8"/>
  <c r="N7" i="8"/>
  <c r="N10" i="8"/>
  <c r="M9" i="8"/>
  <c r="N11" i="8"/>
  <c r="M7" i="8"/>
  <c r="N8" i="8"/>
  <c r="M11" i="8"/>
  <c r="M12" i="8"/>
  <c r="U10" i="11"/>
  <c r="U5" i="11"/>
  <c r="Y9" i="2"/>
  <c r="AT9" i="2"/>
  <c r="X9" i="2"/>
  <c r="AS9" i="2"/>
  <c r="X7" i="2"/>
  <c r="AS7" i="2"/>
  <c r="X8" i="2"/>
  <c r="AS8" i="2"/>
  <c r="Y8" i="2"/>
  <c r="AT8" i="2"/>
  <c r="X12" i="2"/>
  <c r="AS12" i="2"/>
  <c r="Y12" i="2"/>
  <c r="AT12" i="2"/>
  <c r="P7" i="8"/>
  <c r="O7" i="8"/>
  <c r="W7" i="2"/>
  <c r="AI34" i="13"/>
  <c r="AI36" i="13"/>
  <c r="AI37" i="13"/>
  <c r="AI35" i="13"/>
  <c r="AH36" i="13"/>
  <c r="AH37" i="13"/>
  <c r="AH34" i="13"/>
  <c r="AH35" i="13"/>
  <c r="AJ35" i="13"/>
  <c r="Y7" i="2"/>
  <c r="AT7" i="2"/>
  <c r="N5" i="8"/>
  <c r="Y10" i="2"/>
  <c r="AT10" i="2"/>
  <c r="Y11" i="2"/>
  <c r="BS15" i="2"/>
  <c r="BT15" i="2"/>
  <c r="JH25" i="2"/>
  <c r="JG25" i="2"/>
  <c r="BS16" i="2"/>
  <c r="BT16" i="2"/>
  <c r="DW29" i="2"/>
  <c r="DX29" i="2"/>
  <c r="DX21" i="2"/>
  <c r="DW21" i="2"/>
  <c r="DW25" i="2"/>
  <c r="DX25" i="2"/>
  <c r="EY28" i="2"/>
  <c r="EZ28" i="2"/>
  <c r="GB25" i="2"/>
  <c r="GA25" i="2"/>
  <c r="HC15" i="2"/>
  <c r="HD15" i="2"/>
  <c r="HC28" i="2"/>
  <c r="HD28" i="2"/>
  <c r="HC26" i="2"/>
  <c r="HD26" i="2"/>
  <c r="IE16" i="2"/>
  <c r="IF16" i="2"/>
  <c r="IF14" i="2"/>
  <c r="IE14" i="2"/>
  <c r="JH27" i="2"/>
  <c r="JG27" i="2"/>
  <c r="JH21" i="2"/>
  <c r="JG21" i="2"/>
  <c r="DX28" i="2"/>
  <c r="DW28" i="2"/>
  <c r="DX18" i="2"/>
  <c r="DW18" i="2"/>
  <c r="GA24" i="2"/>
  <c r="GB24" i="2"/>
  <c r="JH29" i="2"/>
  <c r="JG29" i="2"/>
  <c r="JG17" i="2"/>
  <c r="JH17" i="2"/>
  <c r="BS14" i="2"/>
  <c r="BT14" i="2"/>
  <c r="EY27" i="2"/>
  <c r="EZ27" i="2"/>
  <c r="EY19" i="2"/>
  <c r="EZ19" i="2"/>
  <c r="BS13" i="2"/>
  <c r="BT13" i="2"/>
  <c r="GB19" i="2"/>
  <c r="GA19" i="2"/>
  <c r="DX27" i="2"/>
  <c r="DW27" i="2"/>
  <c r="CU14" i="2"/>
  <c r="CV14" i="2"/>
  <c r="EZ26" i="2"/>
  <c r="EY26" i="2"/>
  <c r="EZ22" i="2"/>
  <c r="EY22" i="2"/>
  <c r="CU13" i="2"/>
  <c r="CV13" i="2"/>
  <c r="GB23" i="2"/>
  <c r="GA23" i="2"/>
  <c r="EZ23" i="2"/>
  <c r="EY23" i="2"/>
  <c r="DW24" i="2"/>
  <c r="DX24" i="2"/>
  <c r="GA15" i="2"/>
  <c r="GB15" i="2"/>
  <c r="JG26" i="2"/>
  <c r="JH26" i="2"/>
  <c r="IE13" i="2"/>
  <c r="IF13" i="2"/>
  <c r="GA20" i="2"/>
  <c r="GB20" i="2"/>
  <c r="GA18" i="2"/>
  <c r="GB18" i="2"/>
  <c r="JH20" i="2"/>
  <c r="JG20" i="2"/>
  <c r="DX22" i="2"/>
  <c r="DW22" i="2"/>
  <c r="JG22" i="2"/>
  <c r="JH22" i="2"/>
  <c r="EY25" i="2"/>
  <c r="EZ25" i="2"/>
  <c r="JG13" i="2"/>
  <c r="JH13" i="2"/>
  <c r="EZ16" i="2"/>
  <c r="EY16" i="2"/>
  <c r="M5" i="8"/>
  <c r="DX23" i="2"/>
  <c r="DW23" i="2"/>
  <c r="GB17" i="2"/>
  <c r="GA17" i="2"/>
  <c r="CV28" i="2"/>
  <c r="CU28" i="2"/>
  <c r="CU22" i="2"/>
  <c r="CV22" i="2"/>
  <c r="EZ15" i="2"/>
  <c r="EY15" i="2"/>
  <c r="IE28" i="2"/>
  <c r="IF28" i="2"/>
  <c r="IE22" i="2"/>
  <c r="IF22" i="2"/>
  <c r="JG18" i="2"/>
  <c r="JH18" i="2"/>
  <c r="CU19" i="2"/>
  <c r="CV19" i="2"/>
  <c r="DW15" i="2"/>
  <c r="DX15" i="2"/>
  <c r="EY14" i="2"/>
  <c r="EZ14" i="2"/>
  <c r="GB22" i="2"/>
  <c r="GA22" i="2"/>
  <c r="EY17" i="2"/>
  <c r="EZ17" i="2"/>
  <c r="JG28" i="2"/>
  <c r="JH28" i="2"/>
  <c r="CV26" i="2"/>
  <c r="CU26" i="2"/>
  <c r="CU24" i="2"/>
  <c r="CV24" i="2"/>
  <c r="EY21" i="2"/>
  <c r="EZ21" i="2"/>
  <c r="IE26" i="2"/>
  <c r="IF26" i="2"/>
  <c r="IE24" i="2"/>
  <c r="IF24" i="2"/>
  <c r="CV29" i="2"/>
  <c r="CU29" i="2"/>
  <c r="CU21" i="2"/>
  <c r="CV21" i="2"/>
  <c r="DW13" i="2"/>
  <c r="DX13" i="2"/>
  <c r="EZ29" i="2"/>
  <c r="EY29" i="2"/>
  <c r="HC13" i="2"/>
  <c r="HD13" i="2"/>
  <c r="EZ24" i="2"/>
  <c r="EY24" i="2"/>
  <c r="JH23" i="2"/>
  <c r="JG23" i="2"/>
  <c r="CU18" i="2"/>
  <c r="CV18" i="2"/>
  <c r="DX16" i="2"/>
  <c r="DW16" i="2"/>
  <c r="GB21" i="2"/>
  <c r="GA21" i="2"/>
  <c r="IE18" i="2"/>
  <c r="IF18" i="2"/>
  <c r="JH16" i="2"/>
  <c r="JG16" i="2"/>
  <c r="CU27" i="2"/>
  <c r="CV27" i="2"/>
  <c r="CV23" i="2"/>
  <c r="CU23" i="2"/>
  <c r="DX17" i="2"/>
  <c r="DW17" i="2"/>
  <c r="EZ18" i="2"/>
  <c r="EY18" i="2"/>
  <c r="JH19" i="2"/>
  <c r="JG19" i="2"/>
  <c r="DX26" i="2"/>
  <c r="DW26" i="2"/>
  <c r="GB14" i="2"/>
  <c r="CV16" i="2"/>
  <c r="CU16" i="2"/>
  <c r="CU20" i="2"/>
  <c r="CV20" i="2"/>
  <c r="DW20" i="2"/>
  <c r="DX20" i="2"/>
  <c r="HD14" i="2"/>
  <c r="HC14" i="2"/>
  <c r="IF20" i="2"/>
  <c r="IE20" i="2"/>
  <c r="JG14" i="2"/>
  <c r="JH14" i="2"/>
  <c r="CV17" i="2"/>
  <c r="CU17" i="2"/>
  <c r="CV25" i="2"/>
  <c r="CU25" i="2"/>
  <c r="DX19" i="2"/>
  <c r="DW19" i="2"/>
  <c r="EY20" i="2"/>
  <c r="EZ20" i="2"/>
  <c r="JH24" i="2"/>
  <c r="JG24" i="2"/>
  <c r="X11" i="2"/>
  <c r="X10" i="2"/>
  <c r="AS10" i="2"/>
  <c r="IE29" i="2"/>
  <c r="IF29" i="2"/>
  <c r="GA28" i="2"/>
  <c r="GB28" i="2"/>
  <c r="HC27" i="2"/>
  <c r="HD27" i="2"/>
  <c r="IF19" i="2"/>
  <c r="IE19" i="2"/>
  <c r="GA26" i="2"/>
  <c r="GB26" i="2"/>
  <c r="IE21" i="2"/>
  <c r="IF21" i="2"/>
  <c r="GA16" i="2"/>
  <c r="GB16" i="2"/>
  <c r="JH15" i="2"/>
  <c r="JG15" i="2"/>
  <c r="EY13" i="2"/>
  <c r="EZ13" i="2"/>
  <c r="IF27" i="2"/>
  <c r="IE27" i="2"/>
  <c r="IF23" i="2"/>
  <c r="IE23" i="2"/>
  <c r="DW14" i="2"/>
  <c r="DX14" i="2"/>
  <c r="GB13" i="2"/>
  <c r="GA13" i="2"/>
  <c r="HC29" i="2"/>
  <c r="HD29" i="2"/>
  <c r="IE17" i="2"/>
  <c r="IF17" i="2"/>
  <c r="IE25" i="2"/>
  <c r="IF25" i="2"/>
  <c r="GA29" i="2"/>
  <c r="GB29" i="2"/>
  <c r="HC23" i="2"/>
  <c r="HD23" i="2"/>
  <c r="CU15" i="2"/>
  <c r="CV15" i="2"/>
  <c r="HC24" i="2"/>
  <c r="HD24" i="2"/>
  <c r="HC21" i="2"/>
  <c r="HD21" i="2"/>
  <c r="GA27" i="2"/>
  <c r="GB27" i="2"/>
  <c r="HC20" i="2"/>
  <c r="HD20" i="2"/>
  <c r="HC17" i="2"/>
  <c r="HD17" i="2"/>
  <c r="HC25" i="2"/>
  <c r="HD25" i="2"/>
  <c r="HC18" i="2"/>
  <c r="HD18" i="2"/>
  <c r="HC16" i="2"/>
  <c r="HD16" i="2"/>
  <c r="HC22" i="2"/>
  <c r="HD22" i="2"/>
  <c r="HC19" i="2"/>
  <c r="HD19" i="2"/>
  <c r="IE15" i="2"/>
  <c r="IF15" i="2"/>
  <c r="F12" i="1"/>
  <c r="L12" i="1"/>
  <c r="O18" i="1"/>
  <c r="T5" i="11"/>
  <c r="AA5" i="11"/>
  <c r="K12" i="1"/>
  <c r="R3" i="1"/>
  <c r="R4" i="1"/>
  <c r="HA34" i="13"/>
  <c r="GA34" i="13"/>
  <c r="FA34" i="13"/>
  <c r="EA34" i="13"/>
  <c r="HA35" i="13"/>
  <c r="GA35" i="13"/>
  <c r="FA35" i="13"/>
  <c r="EA35" i="13"/>
  <c r="AA35" i="13"/>
  <c r="HA37" i="13"/>
  <c r="GA37" i="13"/>
  <c r="FA37" i="13"/>
  <c r="EA37" i="13"/>
  <c r="AA37" i="13"/>
  <c r="AA34" i="13"/>
  <c r="HA36" i="13"/>
  <c r="GA36" i="13"/>
  <c r="FA36" i="13"/>
  <c r="EA36" i="13"/>
  <c r="AA36" i="13"/>
  <c r="AJ37" i="13"/>
  <c r="AJ34" i="13"/>
  <c r="AJ36" i="13"/>
  <c r="AT11" i="2"/>
  <c r="AU10" i="2"/>
  <c r="AS11" i="2"/>
  <c r="AU7" i="2"/>
  <c r="R18" i="1"/>
  <c r="R17" i="1"/>
  <c r="O17" i="1"/>
  <c r="Z37" i="13"/>
  <c r="Z36" i="13"/>
  <c r="Z35" i="13"/>
  <c r="Z34" i="13"/>
  <c r="L8" i="8"/>
  <c r="R8" i="1"/>
  <c r="X12" i="11"/>
  <c r="J9" i="1"/>
  <c r="I10" i="1"/>
  <c r="AB15" i="2"/>
  <c r="L7" i="8"/>
  <c r="R14" i="1"/>
  <c r="J10" i="1"/>
  <c r="AB10" i="2"/>
  <c r="R9" i="1"/>
  <c r="L7" i="13"/>
  <c r="R6" i="1"/>
  <c r="I9" i="1"/>
  <c r="L9" i="13"/>
  <c r="J7" i="1"/>
  <c r="J11" i="1"/>
  <c r="AB8" i="2"/>
  <c r="R10" i="1"/>
  <c r="AB7" i="2"/>
  <c r="X10" i="11"/>
  <c r="AB13" i="2"/>
  <c r="I7" i="1"/>
  <c r="AB9" i="2"/>
  <c r="X7" i="11"/>
  <c r="X9" i="11"/>
  <c r="R12" i="1"/>
  <c r="R16" i="1"/>
  <c r="L10" i="13"/>
  <c r="L12" i="13"/>
  <c r="L11" i="13"/>
  <c r="AB11" i="2"/>
  <c r="AB16" i="2"/>
  <c r="X11" i="11"/>
  <c r="L10" i="8"/>
  <c r="AB14" i="2"/>
  <c r="L8" i="13"/>
  <c r="X8" i="11"/>
  <c r="I11" i="1"/>
  <c r="AB12" i="2"/>
  <c r="I6" i="1"/>
  <c r="L7" i="11"/>
  <c r="O11" i="11"/>
  <c r="I8" i="1"/>
  <c r="L11" i="8"/>
  <c r="N8" i="11"/>
  <c r="E7" i="6"/>
  <c r="C4" i="6"/>
  <c r="D4" i="6"/>
  <c r="G3" i="6"/>
  <c r="B5" i="6"/>
  <c r="C7" i="6"/>
  <c r="D8" i="6"/>
  <c r="F8" i="6"/>
  <c r="E5" i="6"/>
  <c r="F7" i="6"/>
  <c r="D3" i="6"/>
  <c r="E8" i="6"/>
  <c r="D5" i="6"/>
  <c r="D6" i="6"/>
  <c r="G6" i="6"/>
  <c r="G5" i="6"/>
  <c r="F6" i="6"/>
  <c r="G4" i="6"/>
  <c r="B3" i="6"/>
  <c r="C3" i="6"/>
  <c r="G7" i="6"/>
  <c r="G8" i="6"/>
  <c r="F3" i="6"/>
  <c r="F4" i="6"/>
  <c r="C8" i="6"/>
  <c r="E6" i="6"/>
  <c r="B7" i="6"/>
  <c r="B8" i="6"/>
  <c r="B6" i="6"/>
  <c r="F5" i="6"/>
  <c r="E3" i="6"/>
  <c r="D7" i="6"/>
  <c r="B4" i="6"/>
  <c r="C6" i="6"/>
  <c r="E4" i="6"/>
  <c r="C5" i="6"/>
  <c r="AE7" i="2"/>
  <c r="AG7" i="2"/>
  <c r="AD7" i="2"/>
  <c r="AF7" i="2"/>
  <c r="O8" i="11"/>
  <c r="O7" i="11"/>
  <c r="O10" i="11"/>
  <c r="M7" i="11"/>
  <c r="M12" i="11"/>
  <c r="M11" i="11"/>
  <c r="M9" i="11"/>
  <c r="O9" i="11"/>
  <c r="M8" i="11"/>
  <c r="N7" i="11"/>
  <c r="N11" i="11"/>
  <c r="N9" i="11"/>
  <c r="N12" i="11"/>
  <c r="O12" i="11"/>
  <c r="N10" i="11"/>
  <c r="M10" i="11"/>
  <c r="AP9" i="2"/>
  <c r="AR7" i="2"/>
  <c r="AR10" i="2"/>
  <c r="AP12" i="2"/>
  <c r="AQ7" i="2"/>
  <c r="AQ8" i="2"/>
  <c r="AP7" i="2"/>
  <c r="AQ10" i="2"/>
  <c r="AQ9" i="2"/>
  <c r="BZ12" i="13"/>
  <c r="JZ11" i="13"/>
  <c r="DZ12" i="13"/>
  <c r="PB7" i="13"/>
  <c r="EZ10" i="13"/>
  <c r="HA31" i="13"/>
  <c r="DA32" i="13"/>
  <c r="HA30" i="13"/>
  <c r="HA33" i="13"/>
  <c r="LZ10" i="13"/>
  <c r="MZ12" i="13"/>
  <c r="EA29" i="13"/>
  <c r="EZ7" i="13"/>
  <c r="CA29" i="13"/>
  <c r="BZ11" i="13"/>
  <c r="HA29" i="13"/>
  <c r="AQ11" i="2"/>
  <c r="PZ7" i="13"/>
  <c r="DB31" i="13"/>
  <c r="IZ12" i="13"/>
  <c r="CZ10" i="13"/>
  <c r="EA32" i="13"/>
  <c r="FA33" i="13"/>
  <c r="Z7" i="13"/>
  <c r="GZ12" i="13"/>
  <c r="EA33" i="13"/>
  <c r="GZ8" i="13"/>
  <c r="FA32" i="13"/>
  <c r="PZ12" i="13"/>
  <c r="OZ7" i="13"/>
  <c r="MB7" i="13"/>
  <c r="HA28" i="13"/>
  <c r="NZ10" i="13"/>
  <c r="BA29" i="13"/>
  <c r="AZ7" i="13"/>
  <c r="DB7" i="13"/>
  <c r="AZ10" i="13"/>
  <c r="P7" i="13"/>
  <c r="Z9" i="13"/>
  <c r="HZ11" i="13"/>
  <c r="IA33" i="13"/>
  <c r="IA30" i="13"/>
  <c r="MZ9" i="13"/>
  <c r="NB7" i="13"/>
  <c r="GA33" i="13"/>
  <c r="IZ11" i="13"/>
  <c r="OZ9" i="13"/>
  <c r="OB7" i="13"/>
  <c r="DA29" i="13"/>
  <c r="FB31" i="13"/>
  <c r="PZ8" i="13"/>
  <c r="AZ11" i="13"/>
  <c r="OZ11" i="13"/>
  <c r="EZ9" i="13"/>
  <c r="CZ8" i="13"/>
  <c r="CB31" i="13"/>
  <c r="NZ8" i="13"/>
  <c r="GZ10" i="13"/>
  <c r="DA31" i="13"/>
  <c r="Z10" i="13"/>
  <c r="IZ9" i="13"/>
  <c r="FZ9" i="13"/>
  <c r="Z11" i="13"/>
  <c r="CZ11" i="13"/>
  <c r="IZ10" i="13"/>
  <c r="BA30" i="13"/>
  <c r="Q30" i="13"/>
  <c r="PZ9" i="13"/>
  <c r="JZ8" i="13"/>
  <c r="OZ8" i="13"/>
  <c r="OZ10" i="13"/>
  <c r="EB31" i="13"/>
  <c r="BA32" i="13"/>
  <c r="AB7" i="13"/>
  <c r="CA30" i="13"/>
  <c r="DA30" i="13"/>
  <c r="EZ11" i="13"/>
  <c r="AZ8" i="13"/>
  <c r="QB7" i="13"/>
  <c r="NZ9" i="13"/>
  <c r="DA28" i="13"/>
  <c r="IA32" i="13"/>
  <c r="FZ8" i="13"/>
  <c r="CZ7" i="13"/>
  <c r="GZ7" i="13"/>
  <c r="KZ8" i="13"/>
  <c r="EA31" i="13"/>
  <c r="FA29" i="13"/>
  <c r="IA31" i="13"/>
  <c r="EA30" i="13"/>
  <c r="LZ8" i="13"/>
  <c r="EA28" i="13"/>
  <c r="P30" i="13"/>
  <c r="MZ11" i="13"/>
  <c r="FA30" i="13"/>
  <c r="HB31" i="13"/>
  <c r="HB7" i="13"/>
  <c r="LB7" i="13"/>
  <c r="BA31" i="13"/>
  <c r="CA31" i="13"/>
  <c r="FA31" i="13"/>
  <c r="GZ11" i="13"/>
  <c r="BZ9" i="13"/>
  <c r="DZ10" i="13"/>
  <c r="HZ12" i="13"/>
  <c r="DZ8" i="13"/>
  <c r="KZ12" i="13"/>
  <c r="DZ7" i="13"/>
  <c r="BB7" i="13"/>
  <c r="GA29" i="13"/>
  <c r="BB31" i="13"/>
  <c r="MZ10" i="13"/>
  <c r="JB7" i="13"/>
  <c r="NZ7" i="13"/>
  <c r="AA33" i="13"/>
  <c r="LZ12" i="13"/>
  <c r="BA28" i="13"/>
  <c r="GA30" i="13"/>
  <c r="HZ7" i="13"/>
  <c r="AA32" i="13"/>
  <c r="BA33" i="13"/>
  <c r="AA30" i="13"/>
  <c r="AZ12" i="13"/>
  <c r="IA28" i="13"/>
  <c r="Q7" i="13"/>
  <c r="GA28" i="13"/>
  <c r="CZ12" i="13"/>
  <c r="AA29" i="13"/>
  <c r="DZ11" i="13"/>
  <c r="MZ7" i="13"/>
  <c r="CZ9" i="13"/>
  <c r="GB7" i="13"/>
  <c r="HZ9" i="13"/>
  <c r="CB7" i="13"/>
  <c r="FZ10" i="13"/>
  <c r="IB7" i="13"/>
  <c r="NZ11" i="13"/>
  <c r="KZ7" i="13"/>
  <c r="KB7" i="13"/>
  <c r="LZ7" i="13"/>
  <c r="JZ9" i="13"/>
  <c r="GA32" i="13"/>
  <c r="CA32" i="13"/>
  <c r="DZ9" i="13"/>
  <c r="LZ9" i="13"/>
  <c r="AZ9" i="13"/>
  <c r="KZ10" i="13"/>
  <c r="JZ12" i="13"/>
  <c r="FZ12" i="13"/>
  <c r="BZ8" i="13"/>
  <c r="FA28" i="13"/>
  <c r="CA28" i="13"/>
  <c r="AA28" i="13"/>
  <c r="GA31" i="13"/>
  <c r="LZ11" i="13"/>
  <c r="FZ11" i="13"/>
  <c r="DA33" i="13"/>
  <c r="PZ10" i="13"/>
  <c r="PZ11" i="13"/>
  <c r="EZ12" i="13"/>
  <c r="OZ12" i="13"/>
  <c r="BZ7" i="13"/>
  <c r="IZ7" i="13"/>
  <c r="IB31" i="13"/>
  <c r="FZ7" i="13"/>
  <c r="AB31" i="13"/>
  <c r="HA32" i="13"/>
  <c r="NZ12" i="13"/>
  <c r="IA29" i="13"/>
  <c r="Z12" i="13"/>
  <c r="EZ8" i="13"/>
  <c r="KZ9" i="13"/>
  <c r="CA33" i="13"/>
  <c r="IZ8" i="13"/>
  <c r="HZ10" i="13"/>
  <c r="EB7" i="13"/>
  <c r="FB7" i="13"/>
  <c r="JZ10" i="13"/>
  <c r="KZ11" i="13"/>
  <c r="HZ8" i="13"/>
  <c r="GB31" i="13"/>
  <c r="GZ9" i="13"/>
  <c r="AA31" i="13"/>
  <c r="BZ10" i="13"/>
  <c r="MZ8" i="13"/>
  <c r="Z8" i="13"/>
  <c r="JZ7" i="13"/>
  <c r="AP8" i="2"/>
  <c r="AQ12" i="2"/>
  <c r="AP10" i="2"/>
  <c r="AP11" i="2"/>
  <c r="P7" i="16"/>
  <c r="S7" i="16"/>
  <c r="P9" i="16"/>
  <c r="S9" i="16"/>
  <c r="Q12" i="16"/>
  <c r="T12" i="16"/>
  <c r="Q11" i="16"/>
  <c r="T11" i="16"/>
  <c r="P12" i="16"/>
  <c r="S12" i="16"/>
  <c r="Q10" i="16"/>
  <c r="T10" i="16"/>
  <c r="P11" i="16"/>
  <c r="S11" i="16"/>
  <c r="P10" i="16"/>
  <c r="S10" i="16"/>
  <c r="Q8" i="16"/>
  <c r="T8" i="16"/>
  <c r="Q7" i="16"/>
  <c r="T7" i="16"/>
  <c r="P8" i="16"/>
  <c r="S8" i="16"/>
  <c r="Q9" i="16"/>
  <c r="T9" i="16"/>
  <c r="S7" i="15"/>
  <c r="S9" i="15"/>
  <c r="S12" i="15"/>
  <c r="S11" i="15"/>
  <c r="S10" i="15"/>
  <c r="S8" i="15"/>
  <c r="Q12" i="14"/>
  <c r="T12" i="14"/>
  <c r="Q11" i="14"/>
  <c r="T11" i="14"/>
  <c r="Q10" i="14"/>
  <c r="T10" i="14"/>
  <c r="Q8" i="14"/>
  <c r="T8" i="14"/>
  <c r="Q9" i="14"/>
  <c r="T9" i="14"/>
  <c r="Q7" i="14"/>
  <c r="T7" i="14"/>
  <c r="P9" i="14"/>
  <c r="S9" i="14"/>
  <c r="P12" i="14"/>
  <c r="S12" i="14"/>
  <c r="P11" i="14"/>
  <c r="S11" i="14"/>
  <c r="P10" i="14"/>
  <c r="S10" i="14"/>
  <c r="P8" i="14"/>
  <c r="S8" i="14"/>
  <c r="P7" i="14"/>
  <c r="S7" i="14"/>
  <c r="J12" i="1"/>
  <c r="S7" i="13"/>
  <c r="L28" i="13"/>
  <c r="M28" i="13"/>
  <c r="AC28" i="13"/>
  <c r="Z7" i="11"/>
  <c r="T30" i="13"/>
  <c r="U30" i="13"/>
  <c r="AI7" i="2"/>
  <c r="AI10" i="2"/>
  <c r="L29" i="13"/>
  <c r="M29" i="13"/>
  <c r="AC29" i="13"/>
  <c r="Z8" i="11"/>
  <c r="M10" i="13"/>
  <c r="AD10" i="13"/>
  <c r="I12" i="1"/>
  <c r="L32" i="13"/>
  <c r="M32" i="13"/>
  <c r="AC32" i="13"/>
  <c r="Z11" i="11"/>
  <c r="M9" i="13"/>
  <c r="AD9" i="13"/>
  <c r="L30" i="13"/>
  <c r="M30" i="13"/>
  <c r="AC30" i="13"/>
  <c r="Z9" i="11"/>
  <c r="L33" i="13"/>
  <c r="M33" i="13"/>
  <c r="AC33" i="13"/>
  <c r="Z12" i="11"/>
  <c r="M8" i="13"/>
  <c r="AD8" i="13"/>
  <c r="M11" i="13"/>
  <c r="AD11" i="13"/>
  <c r="L5" i="8"/>
  <c r="S30" i="13"/>
  <c r="T7" i="13"/>
  <c r="U7" i="13"/>
  <c r="AK10" i="2"/>
  <c r="AJ10" i="2"/>
  <c r="L31" i="13"/>
  <c r="M31" i="13"/>
  <c r="AC31" i="13"/>
  <c r="Z10" i="11"/>
  <c r="AK7" i="2"/>
  <c r="AJ7" i="2"/>
  <c r="M7" i="13"/>
  <c r="AD7" i="13"/>
  <c r="M12" i="13"/>
  <c r="AD12" i="13"/>
  <c r="AE31" i="13"/>
  <c r="AM10" i="2"/>
  <c r="Z33" i="13"/>
  <c r="Z30" i="13"/>
  <c r="Q9" i="13"/>
  <c r="AM7" i="2"/>
  <c r="Z31" i="13"/>
  <c r="Q28" i="13"/>
  <c r="P9" i="13"/>
  <c r="Z29" i="13"/>
  <c r="P28" i="13"/>
  <c r="Z28" i="13"/>
  <c r="AA10" i="13"/>
  <c r="AA9" i="13"/>
  <c r="W7" i="13"/>
  <c r="AA8" i="13"/>
  <c r="AL7" i="2"/>
  <c r="V7" i="13"/>
  <c r="X7" i="13"/>
  <c r="AA7" i="13"/>
  <c r="V30" i="13"/>
  <c r="AB10" i="13"/>
  <c r="AA11" i="13"/>
  <c r="X30" i="13"/>
  <c r="AL10" i="2"/>
  <c r="W30" i="13"/>
  <c r="AA12" i="13"/>
  <c r="Z32" i="13"/>
  <c r="AN10" i="2"/>
  <c r="AN7" i="2"/>
  <c r="AB28" i="13"/>
  <c r="W7" i="16"/>
  <c r="AB7" i="16"/>
  <c r="V7" i="16"/>
  <c r="AA7" i="16"/>
  <c r="W7" i="15"/>
  <c r="AB7" i="15"/>
  <c r="V7" i="15"/>
  <c r="AA7" i="15"/>
  <c r="W7" i="14"/>
  <c r="AB7" i="14"/>
  <c r="V7" i="14"/>
  <c r="AA7" i="14"/>
  <c r="T28" i="13"/>
  <c r="U28" i="13"/>
  <c r="S28" i="13"/>
  <c r="S9" i="13"/>
  <c r="U9" i="13"/>
  <c r="T9" i="13"/>
  <c r="AO7" i="2"/>
  <c r="AV5" i="2"/>
  <c r="AO10" i="2"/>
  <c r="Y30" i="13"/>
  <c r="Y7" i="13"/>
  <c r="Z5" i="11"/>
  <c r="AE10" i="13"/>
  <c r="AE28" i="13"/>
  <c r="AG32" i="13"/>
  <c r="AV9" i="2"/>
  <c r="AG29" i="13"/>
  <c r="AF8" i="13"/>
  <c r="X28" i="13"/>
  <c r="AW10" i="2"/>
  <c r="AW12" i="2"/>
  <c r="AF7" i="13"/>
  <c r="AF12" i="13"/>
  <c r="AF11" i="13"/>
  <c r="X9" i="13"/>
  <c r="AV12" i="2"/>
  <c r="V9" i="13"/>
  <c r="AV7" i="2"/>
  <c r="V28" i="13"/>
  <c r="AF9" i="13"/>
  <c r="W28" i="13"/>
  <c r="AW11" i="2"/>
  <c r="AW8" i="2"/>
  <c r="AG28" i="13"/>
  <c r="AV8" i="2"/>
  <c r="AW9" i="2"/>
  <c r="AG33" i="13"/>
  <c r="W9" i="13"/>
  <c r="AG30" i="13"/>
  <c r="AV11" i="2"/>
  <c r="AV10" i="2"/>
  <c r="AG31" i="13"/>
  <c r="AW7" i="2"/>
  <c r="AF10" i="13"/>
  <c r="AE7" i="16"/>
  <c r="AC7" i="15"/>
  <c r="AE7" i="14"/>
  <c r="AZ9" i="2"/>
  <c r="AX9" i="2"/>
  <c r="AZ11" i="2"/>
  <c r="AX11" i="2"/>
  <c r="AX10" i="2"/>
  <c r="AZ10" i="2"/>
  <c r="AZ12" i="2"/>
  <c r="AX12" i="2"/>
  <c r="AZ8" i="2"/>
  <c r="AX8" i="2"/>
  <c r="AZ7" i="2"/>
  <c r="AX7" i="2"/>
  <c r="AH8" i="13"/>
  <c r="AH11" i="13"/>
  <c r="AH12" i="13"/>
  <c r="AH10" i="13"/>
  <c r="AH9" i="13"/>
  <c r="AH7" i="13"/>
  <c r="Y28" i="13"/>
  <c r="AI29" i="13"/>
  <c r="AI32" i="13"/>
  <c r="AI30" i="13"/>
  <c r="AI31" i="13"/>
  <c r="AI33" i="13"/>
  <c r="AI28" i="13"/>
  <c r="Y9" i="13"/>
  <c r="AW5" i="2"/>
  <c r="AV3" i="2"/>
  <c r="BE7" i="13"/>
  <c r="AG10" i="13"/>
  <c r="AG11" i="13"/>
  <c r="AG8" i="13"/>
  <c r="AF28" i="13"/>
  <c r="AF33" i="13"/>
  <c r="AF32" i="13"/>
  <c r="AF30" i="13"/>
  <c r="AF31" i="13"/>
  <c r="AF29" i="13"/>
  <c r="AG12" i="13"/>
  <c r="AG9" i="13"/>
  <c r="AG7" i="13"/>
  <c r="BA7" i="2"/>
  <c r="BC9" i="2"/>
  <c r="BC10" i="2"/>
  <c r="BB8" i="2"/>
  <c r="BB9" i="2"/>
  <c r="BB10" i="2"/>
  <c r="BC7" i="2"/>
  <c r="BC8" i="2"/>
  <c r="BB12" i="2"/>
  <c r="BB11" i="2"/>
  <c r="BC12" i="2"/>
  <c r="BB7" i="2"/>
  <c r="BC11" i="2"/>
  <c r="BP8" i="2"/>
  <c r="BP11" i="2"/>
  <c r="BP12" i="2"/>
  <c r="BP7" i="2"/>
  <c r="BP10" i="2"/>
  <c r="BD7" i="2"/>
  <c r="BE7" i="2"/>
  <c r="BR7" i="2"/>
  <c r="BP9" i="2"/>
  <c r="BF7" i="2"/>
  <c r="BQ8" i="2"/>
  <c r="BQ10" i="2"/>
  <c r="BQ12" i="2"/>
  <c r="BG7" i="2"/>
  <c r="BQ11" i="2"/>
  <c r="BR10" i="2"/>
  <c r="BQ7" i="2"/>
  <c r="BQ9" i="2"/>
  <c r="BJ7" i="2"/>
  <c r="BK7" i="2"/>
  <c r="BI7" i="2"/>
  <c r="BI10" i="2"/>
  <c r="BK10" i="2"/>
  <c r="BJ10" i="2"/>
  <c r="BS7" i="2"/>
  <c r="BS9" i="2"/>
  <c r="BT9" i="2"/>
  <c r="BT11" i="2"/>
  <c r="BT8" i="2"/>
  <c r="BS8" i="2"/>
  <c r="BT7" i="2"/>
  <c r="BS12" i="2"/>
  <c r="BT10" i="2"/>
  <c r="BT12" i="2"/>
  <c r="BS11" i="2"/>
  <c r="BS10" i="2"/>
  <c r="AH29" i="13"/>
  <c r="AJ29" i="13"/>
  <c r="AN29" i="13"/>
  <c r="AO29" i="13"/>
  <c r="BC29" i="13"/>
  <c r="AL29" i="13"/>
  <c r="AH31" i="13"/>
  <c r="AJ31" i="13"/>
  <c r="AN31" i="13"/>
  <c r="AO31" i="13"/>
  <c r="BC31" i="13"/>
  <c r="AH28" i="13"/>
  <c r="AJ28" i="13"/>
  <c r="AN28" i="13"/>
  <c r="AO28" i="13"/>
  <c r="BC28" i="13"/>
  <c r="AL28" i="13"/>
  <c r="AN30" i="13"/>
  <c r="AO30" i="13"/>
  <c r="BC30" i="13"/>
  <c r="AH30" i="13"/>
  <c r="AJ30" i="13"/>
  <c r="AL32" i="13"/>
  <c r="AH32" i="13"/>
  <c r="AJ32" i="13"/>
  <c r="AN32" i="13"/>
  <c r="AO32" i="13"/>
  <c r="BC32" i="13"/>
  <c r="AN33" i="13"/>
  <c r="AO33" i="13"/>
  <c r="BC33" i="13"/>
  <c r="AL33" i="13"/>
  <c r="AH33" i="13"/>
  <c r="AJ33" i="13"/>
  <c r="AI8" i="13"/>
  <c r="AJ8" i="13"/>
  <c r="AN8" i="13"/>
  <c r="AO8" i="13"/>
  <c r="BD8" i="13"/>
  <c r="AL8" i="13"/>
  <c r="AI11" i="13"/>
  <c r="AJ11" i="13"/>
  <c r="AN11" i="13"/>
  <c r="AO11" i="13"/>
  <c r="BD11" i="13"/>
  <c r="AL11" i="13"/>
  <c r="AI10" i="13"/>
  <c r="AJ10" i="13"/>
  <c r="AL10" i="13"/>
  <c r="AN10" i="13"/>
  <c r="AO10" i="13"/>
  <c r="BD10" i="13"/>
  <c r="AI12" i="13"/>
  <c r="AJ12" i="13"/>
  <c r="AN12" i="13"/>
  <c r="AO12" i="13"/>
  <c r="AN7" i="13"/>
  <c r="AO7" i="13"/>
  <c r="BD7" i="13"/>
  <c r="AI7" i="13"/>
  <c r="AJ7" i="13"/>
  <c r="AI9" i="13"/>
  <c r="AJ9" i="13"/>
  <c r="AL9" i="13"/>
  <c r="AN9" i="13"/>
  <c r="AO9" i="13"/>
  <c r="BD9" i="13"/>
  <c r="AL12" i="13"/>
  <c r="AL31" i="13"/>
  <c r="AL30" i="13"/>
  <c r="AL7" i="13"/>
  <c r="BM7" i="2"/>
  <c r="BL7" i="2"/>
  <c r="AZ31" i="13"/>
  <c r="BM10" i="2"/>
  <c r="AZ32" i="13"/>
  <c r="BA9" i="13"/>
  <c r="BA11" i="13"/>
  <c r="AZ30" i="13"/>
  <c r="AZ33" i="13"/>
  <c r="BA8" i="13"/>
  <c r="AZ28" i="13"/>
  <c r="BL10" i="2"/>
  <c r="BB28" i="13"/>
  <c r="BN10" i="2"/>
  <c r="BB10" i="13"/>
  <c r="BA12" i="13"/>
  <c r="BA10" i="13"/>
  <c r="BN7" i="2"/>
  <c r="BA7" i="13"/>
  <c r="AZ29" i="13"/>
  <c r="BU7" i="2"/>
  <c r="AM7" i="13"/>
  <c r="AK7" i="13"/>
  <c r="AK10" i="13"/>
  <c r="BU10" i="2"/>
  <c r="AK28" i="13"/>
  <c r="AK31" i="13"/>
  <c r="AM28" i="13"/>
  <c r="BI37" i="13"/>
  <c r="BO7" i="2"/>
  <c r="BV5" i="2"/>
  <c r="BO10" i="2"/>
  <c r="BW5" i="2"/>
  <c r="BD12" i="13"/>
  <c r="BE10" i="13"/>
  <c r="BI35" i="13"/>
  <c r="BE28" i="13"/>
  <c r="AP9" i="13"/>
  <c r="BV7" i="2"/>
  <c r="BV8" i="2"/>
  <c r="BW8" i="2"/>
  <c r="BV10" i="2"/>
  <c r="AQ9" i="13"/>
  <c r="BW7" i="2"/>
  <c r="AQ28" i="13"/>
  <c r="AQ30" i="13"/>
  <c r="AQ7" i="13"/>
  <c r="BW9" i="2"/>
  <c r="BV11" i="2"/>
  <c r="BV9" i="2"/>
  <c r="AP7" i="13"/>
  <c r="AP28" i="13"/>
  <c r="BW11" i="2"/>
  <c r="AP30" i="13"/>
  <c r="BV12" i="2"/>
  <c r="BW10" i="2"/>
  <c r="BW12" i="2"/>
  <c r="BI36" i="13"/>
  <c r="BH36" i="13"/>
  <c r="BH34" i="13"/>
  <c r="BI34" i="13"/>
  <c r="BH35" i="13"/>
  <c r="AS7" i="13"/>
  <c r="AS9" i="13"/>
  <c r="AU9" i="13"/>
  <c r="AT9" i="13"/>
  <c r="AT7" i="13"/>
  <c r="AU7" i="13"/>
  <c r="BH37" i="13"/>
  <c r="BJ37" i="13"/>
  <c r="AS28" i="13"/>
  <c r="AU28" i="13"/>
  <c r="AT28" i="13"/>
  <c r="AS30" i="13"/>
  <c r="AT30" i="13"/>
  <c r="AU30" i="13"/>
  <c r="BY12" i="2"/>
  <c r="BY9" i="2"/>
  <c r="BY8" i="2"/>
  <c r="BY10" i="2"/>
  <c r="BY11" i="2"/>
  <c r="BY7" i="2"/>
  <c r="BX12" i="2"/>
  <c r="CB12" i="2"/>
  <c r="CB10" i="2"/>
  <c r="BX10" i="2"/>
  <c r="BX11" i="2"/>
  <c r="CB11" i="2"/>
  <c r="CB7" i="2"/>
  <c r="BX7" i="2"/>
  <c r="BX9" i="2"/>
  <c r="CB9" i="2"/>
  <c r="CB8" i="2"/>
  <c r="BX8" i="2"/>
  <c r="BJ35" i="13"/>
  <c r="AV9" i="13"/>
  <c r="AW30" i="13"/>
  <c r="CC7" i="2"/>
  <c r="AX30" i="13"/>
  <c r="CD7" i="2"/>
  <c r="CD12" i="2"/>
  <c r="AX7" i="13"/>
  <c r="AX9" i="13"/>
  <c r="AV28" i="13"/>
  <c r="CD11" i="2"/>
  <c r="CD8" i="2"/>
  <c r="CE9" i="2"/>
  <c r="CD9" i="2"/>
  <c r="AV7" i="13"/>
  <c r="AW9" i="13"/>
  <c r="AW28" i="13"/>
  <c r="CE8" i="2"/>
  <c r="CD10" i="2"/>
  <c r="CT7" i="2"/>
  <c r="CE11" i="2"/>
  <c r="CG7" i="2"/>
  <c r="AW7" i="13"/>
  <c r="AX28" i="13"/>
  <c r="AV30" i="13"/>
  <c r="CE7" i="2"/>
  <c r="CE12" i="2"/>
  <c r="CE10" i="2"/>
  <c r="CS10" i="2"/>
  <c r="CT10" i="2"/>
  <c r="CR9" i="2"/>
  <c r="CR10" i="2"/>
  <c r="CR11" i="2"/>
  <c r="CR7" i="2"/>
  <c r="CR12" i="2"/>
  <c r="CR8" i="2"/>
  <c r="CF7" i="2"/>
  <c r="CS12" i="2"/>
  <c r="CS11" i="2"/>
  <c r="CS8" i="2"/>
  <c r="CH7" i="2"/>
  <c r="CS7" i="2"/>
  <c r="CS9" i="2"/>
  <c r="CI7" i="2"/>
  <c r="BJ36" i="13"/>
  <c r="BJ34" i="13"/>
  <c r="BZ7" i="2"/>
  <c r="BZ9" i="2"/>
  <c r="AY9" i="13"/>
  <c r="AY7" i="13"/>
  <c r="AY30" i="13"/>
  <c r="AY28" i="13"/>
  <c r="BZ10" i="2"/>
  <c r="BZ11" i="2"/>
  <c r="BZ12" i="2"/>
  <c r="BZ8" i="2"/>
  <c r="CL7" i="2"/>
  <c r="CM7" i="2"/>
  <c r="CK7" i="2"/>
  <c r="CM10" i="2"/>
  <c r="CL10" i="2"/>
  <c r="CK10" i="2"/>
  <c r="CU7" i="2"/>
  <c r="CV10" i="2"/>
  <c r="CV7" i="2"/>
  <c r="CU10" i="2"/>
  <c r="CV9" i="2"/>
  <c r="CU12" i="2"/>
  <c r="CV8" i="2"/>
  <c r="CU8" i="2"/>
  <c r="CV11" i="2"/>
  <c r="CU9" i="2"/>
  <c r="CU11" i="2"/>
  <c r="CV12" i="2"/>
  <c r="BG11" i="13"/>
  <c r="BG9" i="13"/>
  <c r="BG10" i="13"/>
  <c r="BG8" i="13"/>
  <c r="BG7" i="13"/>
  <c r="BG12" i="13"/>
  <c r="BF11" i="13"/>
  <c r="BF7" i="13"/>
  <c r="BF28" i="13"/>
  <c r="BG33" i="13"/>
  <c r="CP7" i="2"/>
  <c r="BF8" i="13"/>
  <c r="BF9" i="13"/>
  <c r="CN10" i="2"/>
  <c r="BG30" i="13"/>
  <c r="BG28" i="13"/>
  <c r="BF31" i="13"/>
  <c r="CN7" i="2"/>
  <c r="BF12" i="13"/>
  <c r="BG32" i="13"/>
  <c r="BG31" i="13"/>
  <c r="BF10" i="13"/>
  <c r="BF30" i="13"/>
  <c r="BF29" i="13"/>
  <c r="CO10" i="2"/>
  <c r="CP10" i="2"/>
  <c r="BF33" i="13"/>
  <c r="BG29" i="13"/>
  <c r="CO7" i="2"/>
  <c r="BF32" i="13"/>
  <c r="CA7" i="2"/>
  <c r="CA10" i="2"/>
  <c r="BH9" i="13"/>
  <c r="BL9" i="13"/>
  <c r="BN9" i="13"/>
  <c r="BO9" i="13"/>
  <c r="CD9" i="13"/>
  <c r="BN7" i="13"/>
  <c r="BO7" i="13"/>
  <c r="CD7" i="13"/>
  <c r="BH7" i="13"/>
  <c r="BL7" i="13"/>
  <c r="BN10" i="13"/>
  <c r="BO10" i="13"/>
  <c r="CD10" i="13"/>
  <c r="BH10" i="13"/>
  <c r="BL10" i="13"/>
  <c r="BN12" i="13"/>
  <c r="BO12" i="13"/>
  <c r="CD12" i="13"/>
  <c r="BH12" i="13"/>
  <c r="BL12" i="13"/>
  <c r="BH8" i="13"/>
  <c r="BL8" i="13"/>
  <c r="BN8" i="13"/>
  <c r="BO8" i="13"/>
  <c r="CD8" i="13"/>
  <c r="BN11" i="13"/>
  <c r="BO11" i="13"/>
  <c r="CD11" i="13"/>
  <c r="BH11" i="13"/>
  <c r="BL11" i="13"/>
  <c r="BI9" i="13"/>
  <c r="BI7" i="13"/>
  <c r="BI10" i="13"/>
  <c r="BI11" i="13"/>
  <c r="BI12" i="13"/>
  <c r="BI8" i="13"/>
  <c r="BH29" i="13"/>
  <c r="BN29" i="13"/>
  <c r="BO29" i="13"/>
  <c r="CC29" i="13"/>
  <c r="BH28" i="13"/>
  <c r="BN28" i="13"/>
  <c r="BO28" i="13"/>
  <c r="CC28" i="13"/>
  <c r="CE28" i="13"/>
  <c r="BH32" i="13"/>
  <c r="BN32" i="13"/>
  <c r="BO32" i="13"/>
  <c r="CC32" i="13"/>
  <c r="BH33" i="13"/>
  <c r="BN33" i="13"/>
  <c r="BO33" i="13"/>
  <c r="BN31" i="13"/>
  <c r="BO31" i="13"/>
  <c r="CC31" i="13"/>
  <c r="BH31" i="13"/>
  <c r="BH30" i="13"/>
  <c r="BN30" i="13"/>
  <c r="BO30" i="13"/>
  <c r="CC30" i="13"/>
  <c r="BI28" i="13"/>
  <c r="BL28" i="13"/>
  <c r="BM28" i="13"/>
  <c r="BI30" i="13"/>
  <c r="BL30" i="13"/>
  <c r="BI31" i="13"/>
  <c r="BL31" i="13"/>
  <c r="BI32" i="13"/>
  <c r="BL32" i="13"/>
  <c r="BI33" i="13"/>
  <c r="BL33" i="13"/>
  <c r="BI29" i="13"/>
  <c r="BL29" i="13"/>
  <c r="CW10" i="2"/>
  <c r="CW7" i="2"/>
  <c r="CQ7" i="2"/>
  <c r="CX5" i="2"/>
  <c r="CQ10" i="2"/>
  <c r="CY5" i="2"/>
  <c r="BJ9" i="13"/>
  <c r="CB10" i="13"/>
  <c r="CA8" i="13"/>
  <c r="CX8" i="2"/>
  <c r="CX7" i="2"/>
  <c r="BZ30" i="13"/>
  <c r="BP30" i="13"/>
  <c r="CA11" i="13"/>
  <c r="BZ28" i="13"/>
  <c r="CY11" i="2"/>
  <c r="CY8" i="2"/>
  <c r="CY10" i="2"/>
  <c r="BZ29" i="13"/>
  <c r="BP28" i="13"/>
  <c r="CY12" i="2"/>
  <c r="CX12" i="2"/>
  <c r="CA7" i="13"/>
  <c r="CA10" i="13"/>
  <c r="BZ32" i="13"/>
  <c r="BQ28" i="13"/>
  <c r="BZ33" i="13"/>
  <c r="CX9" i="2"/>
  <c r="CA12" i="13"/>
  <c r="CA9" i="13"/>
  <c r="CX10" i="2"/>
  <c r="BZ31" i="13"/>
  <c r="CY9" i="2"/>
  <c r="CB28" i="13"/>
  <c r="CX11" i="2"/>
  <c r="BQ30" i="13"/>
  <c r="CY7" i="2"/>
  <c r="BJ8" i="13"/>
  <c r="BJ10" i="13"/>
  <c r="BJ32" i="13"/>
  <c r="CE10" i="13"/>
  <c r="BJ11" i="13"/>
  <c r="BJ12" i="13"/>
  <c r="BM7" i="13"/>
  <c r="BJ7" i="13"/>
  <c r="BJ30" i="13"/>
  <c r="BJ33" i="13"/>
  <c r="BJ28" i="13"/>
  <c r="BJ29" i="13"/>
  <c r="CC33" i="13"/>
  <c r="BJ31" i="13"/>
  <c r="DA9" i="2"/>
  <c r="DA8" i="2"/>
  <c r="DA11" i="2"/>
  <c r="DA7" i="2"/>
  <c r="DA12" i="2"/>
  <c r="DA10" i="2"/>
  <c r="CZ8" i="2"/>
  <c r="DD8" i="2"/>
  <c r="CZ11" i="2"/>
  <c r="DD11" i="2"/>
  <c r="DD9" i="2"/>
  <c r="CZ9" i="2"/>
  <c r="CZ7" i="2"/>
  <c r="DD7" i="2"/>
  <c r="DD10" i="2"/>
  <c r="CZ10" i="2"/>
  <c r="DD12" i="2"/>
  <c r="CZ12" i="2"/>
  <c r="CI35" i="13"/>
  <c r="CI36" i="13"/>
  <c r="CI37" i="13"/>
  <c r="CI34" i="13"/>
  <c r="CH34" i="13"/>
  <c r="CH35" i="13"/>
  <c r="CH36" i="13"/>
  <c r="CH37" i="13"/>
  <c r="BS30" i="13"/>
  <c r="BT30" i="13"/>
  <c r="BU30" i="13"/>
  <c r="BS28" i="13"/>
  <c r="BU28" i="13"/>
  <c r="BT28" i="13"/>
  <c r="BQ9" i="13"/>
  <c r="BW28" i="13"/>
  <c r="BV28" i="13"/>
  <c r="BV30" i="13"/>
  <c r="BP7" i="13"/>
  <c r="BW30" i="13"/>
  <c r="BX30" i="13"/>
  <c r="BP9" i="13"/>
  <c r="DE7" i="2"/>
  <c r="DF7" i="2"/>
  <c r="DF12" i="2"/>
  <c r="DF8" i="2"/>
  <c r="DG8" i="2"/>
  <c r="BQ7" i="13"/>
  <c r="BX28" i="13"/>
  <c r="DG12" i="2"/>
  <c r="DG7" i="2"/>
  <c r="DG10" i="2"/>
  <c r="DF10" i="2"/>
  <c r="DG11" i="2"/>
  <c r="DF9" i="2"/>
  <c r="DG9" i="2"/>
  <c r="DF11" i="2"/>
  <c r="DT11" i="2"/>
  <c r="DH7" i="2"/>
  <c r="DV7" i="2"/>
  <c r="DT10" i="2"/>
  <c r="DT8" i="2"/>
  <c r="DI7" i="2"/>
  <c r="DU12" i="2"/>
  <c r="DU9" i="2"/>
  <c r="DU11" i="2"/>
  <c r="DU10" i="2"/>
  <c r="DU7" i="2"/>
  <c r="DU8" i="2"/>
  <c r="DK7" i="2"/>
  <c r="DV10" i="2"/>
  <c r="DJ7" i="2"/>
  <c r="DT12" i="2"/>
  <c r="DT9" i="2"/>
  <c r="DT7" i="2"/>
  <c r="BK7" i="13"/>
  <c r="BK10" i="13"/>
  <c r="BK28" i="13"/>
  <c r="BK31" i="13"/>
  <c r="BU7" i="13"/>
  <c r="BT7" i="13"/>
  <c r="BS9" i="13"/>
  <c r="BS7" i="13"/>
  <c r="BU9" i="13"/>
  <c r="BT9" i="13"/>
  <c r="DB9" i="2"/>
  <c r="DB8" i="2"/>
  <c r="DB7" i="2"/>
  <c r="DB12" i="2"/>
  <c r="DB11" i="2"/>
  <c r="DB10" i="2"/>
  <c r="DM10" i="2"/>
  <c r="DN10" i="2"/>
  <c r="DO10" i="2"/>
  <c r="DO7" i="2"/>
  <c r="DN7" i="2"/>
  <c r="DM7" i="2"/>
  <c r="DX12" i="2"/>
  <c r="DX9" i="2"/>
  <c r="DW11" i="2"/>
  <c r="DX7" i="2"/>
  <c r="DW7" i="2"/>
  <c r="DW10" i="2"/>
  <c r="DX10" i="2"/>
  <c r="DW12" i="2"/>
  <c r="DW9" i="2"/>
  <c r="DX8" i="2"/>
  <c r="DW8" i="2"/>
  <c r="DX11" i="2"/>
  <c r="CJ34" i="13"/>
  <c r="CJ35" i="13"/>
  <c r="CJ36" i="13"/>
  <c r="CJ37" i="13"/>
  <c r="BY30" i="13"/>
  <c r="BY28" i="13"/>
  <c r="BW7" i="13"/>
  <c r="CF29" i="13"/>
  <c r="DP10" i="2"/>
  <c r="CG29" i="13"/>
  <c r="BW9" i="13"/>
  <c r="CF32" i="13"/>
  <c r="DR10" i="2"/>
  <c r="DQ7" i="2"/>
  <c r="CG28" i="13"/>
  <c r="BX7" i="13"/>
  <c r="BX9" i="13"/>
  <c r="CF28" i="13"/>
  <c r="CF31" i="13"/>
  <c r="CG32" i="13"/>
  <c r="CG31" i="13"/>
  <c r="BV7" i="13"/>
  <c r="BV9" i="13"/>
  <c r="CF30" i="13"/>
  <c r="CG33" i="13"/>
  <c r="DP7" i="2"/>
  <c r="DR7" i="2"/>
  <c r="DQ10" i="2"/>
  <c r="CG30" i="13"/>
  <c r="CF33" i="13"/>
  <c r="DC7" i="2"/>
  <c r="DC10" i="2"/>
  <c r="BY9" i="13"/>
  <c r="BY7" i="13"/>
  <c r="DY10" i="2"/>
  <c r="DY7" i="2"/>
  <c r="DS10" i="2"/>
  <c r="EA5" i="2"/>
  <c r="DS7" i="2"/>
  <c r="CI29" i="13"/>
  <c r="CL29" i="13"/>
  <c r="CI30" i="13"/>
  <c r="CL30" i="13"/>
  <c r="CI31" i="13"/>
  <c r="CL31" i="13"/>
  <c r="CI32" i="13"/>
  <c r="CL32" i="13"/>
  <c r="CI33" i="13"/>
  <c r="CL33" i="13"/>
  <c r="CI28" i="13"/>
  <c r="CL28" i="13"/>
  <c r="CH30" i="13"/>
  <c r="CH33" i="13"/>
  <c r="CH29" i="13"/>
  <c r="CH32" i="13"/>
  <c r="CH31" i="13"/>
  <c r="CH28" i="13"/>
  <c r="CN31" i="13"/>
  <c r="CN33" i="13"/>
  <c r="CN32" i="13"/>
  <c r="CN30" i="13"/>
  <c r="CN29" i="13"/>
  <c r="CN28" i="13"/>
  <c r="CO28" i="13"/>
  <c r="DC28" i="13"/>
  <c r="CG10" i="13"/>
  <c r="CF11" i="13"/>
  <c r="EA8" i="2"/>
  <c r="CG9" i="13"/>
  <c r="CG12" i="13"/>
  <c r="CF10" i="13"/>
  <c r="EA7" i="2"/>
  <c r="DZ9" i="2"/>
  <c r="EA12" i="2"/>
  <c r="DZ11" i="2"/>
  <c r="EA10" i="2"/>
  <c r="CG8" i="13"/>
  <c r="CG11" i="13"/>
  <c r="CF12" i="13"/>
  <c r="EA11" i="2"/>
  <c r="DZ10" i="2"/>
  <c r="CG7" i="13"/>
  <c r="CF7" i="13"/>
  <c r="CF9" i="13"/>
  <c r="DZ8" i="2"/>
  <c r="EA9" i="2"/>
  <c r="DZ7" i="2"/>
  <c r="CF8" i="13"/>
  <c r="DZ12" i="2"/>
  <c r="CJ31" i="13"/>
  <c r="CH8" i="13"/>
  <c r="CL8" i="13"/>
  <c r="CN8" i="13"/>
  <c r="CO8" i="13"/>
  <c r="DD8" i="13"/>
  <c r="CN9" i="13"/>
  <c r="CO9" i="13"/>
  <c r="DD9" i="13"/>
  <c r="CH9" i="13"/>
  <c r="CL9" i="13"/>
  <c r="CH12" i="13"/>
  <c r="CL12" i="13"/>
  <c r="CN12" i="13"/>
  <c r="CO12" i="13"/>
  <c r="CN10" i="13"/>
  <c r="CO10" i="13"/>
  <c r="DD10" i="13"/>
  <c r="CH10" i="13"/>
  <c r="CL10" i="13"/>
  <c r="CN11" i="13"/>
  <c r="CO11" i="13"/>
  <c r="DD11" i="13"/>
  <c r="CH11" i="13"/>
  <c r="CL11" i="13"/>
  <c r="CN7" i="13"/>
  <c r="CO7" i="13"/>
  <c r="DD7" i="13"/>
  <c r="CH7" i="13"/>
  <c r="CL7" i="13"/>
  <c r="CI11" i="13"/>
  <c r="CI12" i="13"/>
  <c r="CI10" i="13"/>
  <c r="CI7" i="13"/>
  <c r="CI8" i="13"/>
  <c r="CI9" i="13"/>
  <c r="EF7" i="2"/>
  <c r="EB7" i="2"/>
  <c r="EF12" i="2"/>
  <c r="EB12" i="2"/>
  <c r="EB9" i="2"/>
  <c r="EF9" i="2"/>
  <c r="EF8" i="2"/>
  <c r="EB8" i="2"/>
  <c r="EF10" i="2"/>
  <c r="EB10" i="2"/>
  <c r="EF11" i="2"/>
  <c r="EB11" i="2"/>
  <c r="EC10" i="2"/>
  <c r="EC11" i="2"/>
  <c r="EC12" i="2"/>
  <c r="EC8" i="2"/>
  <c r="EC9" i="2"/>
  <c r="EC7" i="2"/>
  <c r="DZ5" i="2"/>
  <c r="CO31" i="13"/>
  <c r="DC31" i="13"/>
  <c r="CO30" i="13"/>
  <c r="DC30" i="13"/>
  <c r="CO32" i="13"/>
  <c r="CO29" i="13"/>
  <c r="DC29" i="13"/>
  <c r="CJ30" i="13"/>
  <c r="CJ29" i="13"/>
  <c r="CJ32" i="13"/>
  <c r="CJ33" i="13"/>
  <c r="CJ28" i="13"/>
  <c r="DC33" i="13"/>
  <c r="CM28" i="13"/>
  <c r="DA8" i="13"/>
  <c r="DB28" i="13"/>
  <c r="CZ28" i="13"/>
  <c r="CQ30" i="13"/>
  <c r="DA11" i="13"/>
  <c r="DB10" i="13"/>
  <c r="CZ31" i="13"/>
  <c r="CQ28" i="13"/>
  <c r="CZ29" i="13"/>
  <c r="CZ30" i="13"/>
  <c r="DA9" i="13"/>
  <c r="DA12" i="13"/>
  <c r="CZ33" i="13"/>
  <c r="EG7" i="2"/>
  <c r="EI10" i="2"/>
  <c r="CP30" i="13"/>
  <c r="EH8" i="2"/>
  <c r="EH10" i="2"/>
  <c r="DA7" i="13"/>
  <c r="DA10" i="13"/>
  <c r="CZ32" i="13"/>
  <c r="CP28" i="13"/>
  <c r="EI9" i="2"/>
  <c r="EH11" i="2"/>
  <c r="EI7" i="2"/>
  <c r="EH12" i="2"/>
  <c r="EH9" i="2"/>
  <c r="EI8" i="2"/>
  <c r="EH7" i="2"/>
  <c r="EI12" i="2"/>
  <c r="EI11" i="2"/>
  <c r="EV10" i="2"/>
  <c r="EV12" i="2"/>
  <c r="EK7" i="2"/>
  <c r="EV9" i="2"/>
  <c r="EX7" i="2"/>
  <c r="EV11" i="2"/>
  <c r="EV8" i="2"/>
  <c r="EV7" i="2"/>
  <c r="EJ7" i="2"/>
  <c r="EW10" i="2"/>
  <c r="EW8" i="2"/>
  <c r="EW11" i="2"/>
  <c r="EX10" i="2"/>
  <c r="EL7" i="2"/>
  <c r="EW12" i="2"/>
  <c r="EM7" i="2"/>
  <c r="EW7" i="2"/>
  <c r="EW9" i="2"/>
  <c r="CJ8" i="13"/>
  <c r="CJ12" i="13"/>
  <c r="ED8" i="2"/>
  <c r="CJ11" i="13"/>
  <c r="ED7" i="2"/>
  <c r="CJ9" i="13"/>
  <c r="ED10" i="2"/>
  <c r="ED9" i="2"/>
  <c r="CJ10" i="13"/>
  <c r="CJ7" i="13"/>
  <c r="CM7" i="13"/>
  <c r="DI14" i="13"/>
  <c r="DD12" i="13"/>
  <c r="DE10" i="13"/>
  <c r="ED12" i="2"/>
  <c r="ED11" i="2"/>
  <c r="EP10" i="2"/>
  <c r="EQ10" i="2"/>
  <c r="EO10" i="2"/>
  <c r="EO7" i="2"/>
  <c r="EQ7" i="2"/>
  <c r="EP7" i="2"/>
  <c r="EY7" i="2"/>
  <c r="EY9" i="2"/>
  <c r="EZ8" i="2"/>
  <c r="EZ11" i="2"/>
  <c r="EY8" i="2"/>
  <c r="EY10" i="2"/>
  <c r="EZ12" i="2"/>
  <c r="EZ9" i="2"/>
  <c r="EZ7" i="2"/>
  <c r="EY12" i="2"/>
  <c r="EY11" i="2"/>
  <c r="EZ10" i="2"/>
  <c r="DC32" i="13"/>
  <c r="DE28" i="13"/>
  <c r="CS30" i="13"/>
  <c r="CT30" i="13"/>
  <c r="CU30" i="13"/>
  <c r="CS28" i="13"/>
  <c r="CU28" i="13"/>
  <c r="CT28" i="13"/>
  <c r="CK28" i="13"/>
  <c r="CK31" i="13"/>
  <c r="CQ9" i="13"/>
  <c r="ER7" i="2"/>
  <c r="ET7" i="2"/>
  <c r="CX28" i="13"/>
  <c r="ER10" i="2"/>
  <c r="CV28" i="13"/>
  <c r="CQ7" i="13"/>
  <c r="CX30" i="13"/>
  <c r="ET10" i="2"/>
  <c r="ES7" i="2"/>
  <c r="CP7" i="13"/>
  <c r="CW30" i="13"/>
  <c r="CP9" i="13"/>
  <c r="CW28" i="13"/>
  <c r="ES10" i="2"/>
  <c r="CV30" i="13"/>
  <c r="CK7" i="13"/>
  <c r="CK10" i="13"/>
  <c r="DH14" i="13"/>
  <c r="DI16" i="13"/>
  <c r="DH16" i="13"/>
  <c r="DH13" i="13"/>
  <c r="DI13" i="13"/>
  <c r="DI15" i="13"/>
  <c r="DH15" i="13"/>
  <c r="CT9" i="13"/>
  <c r="CU9" i="13"/>
  <c r="CU7" i="13"/>
  <c r="CT7" i="13"/>
  <c r="CS7" i="13"/>
  <c r="CS9" i="13"/>
  <c r="FA10" i="2"/>
  <c r="FA7" i="2"/>
  <c r="EE7" i="2"/>
  <c r="EE10" i="2"/>
  <c r="EU10" i="2"/>
  <c r="FC5" i="2"/>
  <c r="EU7" i="2"/>
  <c r="FB5" i="2"/>
  <c r="CY30" i="13"/>
  <c r="CY28" i="13"/>
  <c r="DG37" i="13"/>
  <c r="DI37" i="13"/>
  <c r="DG36" i="13"/>
  <c r="DI36" i="13"/>
  <c r="DG35" i="13"/>
  <c r="DI35" i="13"/>
  <c r="DG34" i="13"/>
  <c r="DI34" i="13"/>
  <c r="DF34" i="13"/>
  <c r="DH34" i="13"/>
  <c r="DF35" i="13"/>
  <c r="DH35" i="13"/>
  <c r="DF36" i="13"/>
  <c r="DH36" i="13"/>
  <c r="DF37" i="13"/>
  <c r="DH37" i="13"/>
  <c r="CV7" i="13"/>
  <c r="FC10" i="2"/>
  <c r="FB9" i="2"/>
  <c r="FB7" i="2"/>
  <c r="CX9" i="13"/>
  <c r="CX7" i="13"/>
  <c r="FB8" i="2"/>
  <c r="DG28" i="13"/>
  <c r="FC9" i="2"/>
  <c r="FB12" i="2"/>
  <c r="FB11" i="2"/>
  <c r="DF31" i="13"/>
  <c r="FC12" i="2"/>
  <c r="CV9" i="13"/>
  <c r="CW7" i="13"/>
  <c r="DG31" i="13"/>
  <c r="DF30" i="13"/>
  <c r="FB10" i="2"/>
  <c r="DG32" i="13"/>
  <c r="DG33" i="13"/>
  <c r="DG29" i="13"/>
  <c r="DF28" i="13"/>
  <c r="CW9" i="13"/>
  <c r="FC8" i="2"/>
  <c r="DF33" i="13"/>
  <c r="DF32" i="13"/>
  <c r="FC7" i="2"/>
  <c r="FC11" i="2"/>
  <c r="DF29" i="13"/>
  <c r="DG30" i="13"/>
  <c r="CY7" i="13"/>
  <c r="CY9" i="13"/>
  <c r="FD12" i="2"/>
  <c r="FH12" i="2"/>
  <c r="FH9" i="2"/>
  <c r="FD9" i="2"/>
  <c r="FH8" i="2"/>
  <c r="FD8" i="2"/>
  <c r="FD11" i="2"/>
  <c r="FH11" i="2"/>
  <c r="FH7" i="2"/>
  <c r="FD7" i="2"/>
  <c r="FH10" i="2"/>
  <c r="FD10" i="2"/>
  <c r="FE10" i="2"/>
  <c r="FE12" i="2"/>
  <c r="FE7" i="2"/>
  <c r="FE9" i="2"/>
  <c r="FE8" i="2"/>
  <c r="FE11" i="2"/>
  <c r="DJ34" i="13"/>
  <c r="DJ36" i="13"/>
  <c r="DJ35" i="13"/>
  <c r="DJ37" i="13"/>
  <c r="DI30" i="13"/>
  <c r="DL30" i="13"/>
  <c r="DI29" i="13"/>
  <c r="DL29" i="13"/>
  <c r="DI31" i="13"/>
  <c r="DL31" i="13"/>
  <c r="DI32" i="13"/>
  <c r="DL32" i="13"/>
  <c r="DI33" i="13"/>
  <c r="DL33" i="13"/>
  <c r="DI28" i="13"/>
  <c r="DL28" i="13"/>
  <c r="DH30" i="13"/>
  <c r="DH32" i="13"/>
  <c r="DH33" i="13"/>
  <c r="DH29" i="13"/>
  <c r="DH31" i="13"/>
  <c r="DH28" i="13"/>
  <c r="DN32" i="13"/>
  <c r="DO32" i="13"/>
  <c r="EC32" i="13"/>
  <c r="DN31" i="13"/>
  <c r="DO31" i="13"/>
  <c r="EC31" i="13"/>
  <c r="DN30" i="13"/>
  <c r="DO30" i="13"/>
  <c r="EC30" i="13"/>
  <c r="DN33" i="13"/>
  <c r="DO33" i="13"/>
  <c r="DN29" i="13"/>
  <c r="DO29" i="13"/>
  <c r="EC29" i="13"/>
  <c r="DN28" i="13"/>
  <c r="DO28" i="13"/>
  <c r="EC28" i="13"/>
  <c r="DZ37" i="13"/>
  <c r="DZ35" i="13"/>
  <c r="DZ36" i="13"/>
  <c r="DZ34" i="13"/>
  <c r="DF8" i="13"/>
  <c r="DG11" i="13"/>
  <c r="DG9" i="13"/>
  <c r="DZ31" i="13"/>
  <c r="DZ28" i="13"/>
  <c r="DF10" i="13"/>
  <c r="DG7" i="13"/>
  <c r="DG8" i="13"/>
  <c r="FI7" i="2"/>
  <c r="FJ12" i="2"/>
  <c r="FJ9" i="2"/>
  <c r="FK12" i="2"/>
  <c r="FK10" i="2"/>
  <c r="DF12" i="13"/>
  <c r="DF9" i="13"/>
  <c r="DG12" i="13"/>
  <c r="DZ30" i="13"/>
  <c r="DZ33" i="13"/>
  <c r="FK9" i="2"/>
  <c r="FJ10" i="2"/>
  <c r="FK11" i="2"/>
  <c r="DF7" i="13"/>
  <c r="DF11" i="13"/>
  <c r="DG10" i="13"/>
  <c r="DZ32" i="13"/>
  <c r="EB28" i="13"/>
  <c r="DZ29" i="13"/>
  <c r="FK7" i="2"/>
  <c r="FJ7" i="2"/>
  <c r="FK8" i="2"/>
  <c r="FJ8" i="2"/>
  <c r="FJ11" i="2"/>
  <c r="FX8" i="2"/>
  <c r="FX11" i="2"/>
  <c r="FN7" i="2"/>
  <c r="FY9" i="2"/>
  <c r="FY11" i="2"/>
  <c r="FY10" i="2"/>
  <c r="FY8" i="2"/>
  <c r="FY7" i="2"/>
  <c r="FZ10" i="2"/>
  <c r="FO7" i="2"/>
  <c r="FY12" i="2"/>
  <c r="FZ7" i="2"/>
  <c r="FX9" i="2"/>
  <c r="FX10" i="2"/>
  <c r="FX12" i="2"/>
  <c r="FX7" i="2"/>
  <c r="FL7" i="2"/>
  <c r="FM7" i="2"/>
  <c r="FF8" i="2"/>
  <c r="FF9" i="2"/>
  <c r="DI8" i="13"/>
  <c r="DI9" i="13"/>
  <c r="DI10" i="13"/>
  <c r="DI12" i="13"/>
  <c r="DI7" i="13"/>
  <c r="DI11" i="13"/>
  <c r="DN11" i="13"/>
  <c r="DO11" i="13"/>
  <c r="ED11" i="13"/>
  <c r="DH11" i="13"/>
  <c r="DL11" i="13"/>
  <c r="DH9" i="13"/>
  <c r="DL9" i="13"/>
  <c r="DN9" i="13"/>
  <c r="DO9" i="13"/>
  <c r="ED9" i="13"/>
  <c r="DH10" i="13"/>
  <c r="DL10" i="13"/>
  <c r="DN10" i="13"/>
  <c r="DO10" i="13"/>
  <c r="ED10" i="13"/>
  <c r="DN8" i="13"/>
  <c r="DO8" i="13"/>
  <c r="ED8" i="13"/>
  <c r="DH8" i="13"/>
  <c r="DH7" i="13"/>
  <c r="DL7" i="13"/>
  <c r="DN7" i="13"/>
  <c r="DO7" i="13"/>
  <c r="ED7" i="13"/>
  <c r="DH12" i="13"/>
  <c r="DL12" i="13"/>
  <c r="DN12" i="13"/>
  <c r="DO12" i="13"/>
  <c r="ED12" i="13"/>
  <c r="DJ33" i="13"/>
  <c r="FF10" i="2"/>
  <c r="FF12" i="2"/>
  <c r="FF11" i="2"/>
  <c r="FF7" i="2"/>
  <c r="FQ7" i="2"/>
  <c r="FR7" i="2"/>
  <c r="FS7" i="2"/>
  <c r="FQ10" i="2"/>
  <c r="GA7" i="2"/>
  <c r="GB7" i="2"/>
  <c r="GB9" i="2"/>
  <c r="GA8" i="2"/>
  <c r="GB8" i="2"/>
  <c r="GA10" i="2"/>
  <c r="GA12" i="2"/>
  <c r="GB12" i="2"/>
  <c r="GB10" i="2"/>
  <c r="GA9" i="2"/>
  <c r="GA11" i="2"/>
  <c r="GB11" i="2"/>
  <c r="DJ31" i="13"/>
  <c r="DJ29" i="13"/>
  <c r="DJ32" i="13"/>
  <c r="DJ30" i="13"/>
  <c r="DJ28" i="13"/>
  <c r="FS10" i="2"/>
  <c r="FR10" i="2"/>
  <c r="EC33" i="13"/>
  <c r="EE28" i="13"/>
  <c r="DM28" i="13"/>
  <c r="EB10" i="13"/>
  <c r="EA7" i="13"/>
  <c r="DQ30" i="13"/>
  <c r="FU7" i="2"/>
  <c r="FV7" i="2"/>
  <c r="FV10" i="2"/>
  <c r="EA11" i="13"/>
  <c r="EA9" i="13"/>
  <c r="DP30" i="13"/>
  <c r="FT10" i="2"/>
  <c r="DP28" i="13"/>
  <c r="EA12" i="13"/>
  <c r="EA10" i="13"/>
  <c r="EA8" i="13"/>
  <c r="FU10" i="2"/>
  <c r="DQ28" i="13"/>
  <c r="FT7" i="2"/>
  <c r="DJ8" i="13"/>
  <c r="DL8" i="13"/>
  <c r="DM7" i="13"/>
  <c r="DJ9" i="13"/>
  <c r="DJ10" i="13"/>
  <c r="DJ12" i="13"/>
  <c r="DJ7" i="13"/>
  <c r="EE10" i="13"/>
  <c r="GC7" i="2"/>
  <c r="FG7" i="2"/>
  <c r="FG10" i="2"/>
  <c r="DJ11" i="13"/>
  <c r="GC10" i="2"/>
  <c r="FW7" i="2"/>
  <c r="GD5" i="2"/>
  <c r="FW10" i="2"/>
  <c r="GE5" i="2"/>
  <c r="DS30" i="13"/>
  <c r="DU30" i="13"/>
  <c r="DT30" i="13"/>
  <c r="DS28" i="13"/>
  <c r="DU28" i="13"/>
  <c r="DT28" i="13"/>
  <c r="DK28" i="13"/>
  <c r="DK31" i="13"/>
  <c r="GD10" i="2"/>
  <c r="GE7" i="2"/>
  <c r="GE11" i="2"/>
  <c r="GE8" i="2"/>
  <c r="GD11" i="2"/>
  <c r="GE12" i="2"/>
  <c r="DV28" i="13"/>
  <c r="DX28" i="13"/>
  <c r="GE9" i="2"/>
  <c r="DP9" i="13"/>
  <c r="GD9" i="2"/>
  <c r="DX30" i="13"/>
  <c r="DQ9" i="13"/>
  <c r="DP7" i="13"/>
  <c r="DV30" i="13"/>
  <c r="GD12" i="2"/>
  <c r="GD7" i="2"/>
  <c r="DW30" i="13"/>
  <c r="DQ7" i="13"/>
  <c r="GE10" i="2"/>
  <c r="DW28" i="13"/>
  <c r="GD8" i="2"/>
  <c r="DK7" i="13"/>
  <c r="DK10" i="13"/>
  <c r="GF8" i="2"/>
  <c r="GF7" i="2"/>
  <c r="GF10" i="2"/>
  <c r="GF12" i="2"/>
  <c r="GF11" i="2"/>
  <c r="GF9" i="2"/>
  <c r="GG10" i="2"/>
  <c r="GJ10" i="2"/>
  <c r="GG7" i="2"/>
  <c r="GJ7" i="2"/>
  <c r="GG8" i="2"/>
  <c r="GJ8" i="2"/>
  <c r="GG9" i="2"/>
  <c r="GJ9" i="2"/>
  <c r="GJ12" i="2"/>
  <c r="GG12" i="2"/>
  <c r="GJ11" i="2"/>
  <c r="GG11" i="2"/>
  <c r="DY30" i="13"/>
  <c r="DY28" i="13"/>
  <c r="EI15" i="13"/>
  <c r="EI16" i="13"/>
  <c r="EI13" i="13"/>
  <c r="EI14" i="13"/>
  <c r="EH15" i="13"/>
  <c r="EH16" i="13"/>
  <c r="EH13" i="13"/>
  <c r="EH14" i="13"/>
  <c r="DS9" i="13"/>
  <c r="DU9" i="13"/>
  <c r="DT9" i="13"/>
  <c r="DS7" i="13"/>
  <c r="DU7" i="13"/>
  <c r="DT7" i="13"/>
  <c r="EG37" i="13"/>
  <c r="EG35" i="13"/>
  <c r="EG36" i="13"/>
  <c r="EG34" i="13"/>
  <c r="DX7" i="13"/>
  <c r="EG28" i="13"/>
  <c r="DV7" i="13"/>
  <c r="DW7" i="13"/>
  <c r="EF32" i="13"/>
  <c r="EG29" i="13"/>
  <c r="EF28" i="13"/>
  <c r="EF29" i="13"/>
  <c r="GK7" i="2"/>
  <c r="EF33" i="13"/>
  <c r="EG30" i="13"/>
  <c r="GM7" i="2"/>
  <c r="GL12" i="2"/>
  <c r="GL11" i="2"/>
  <c r="GL7" i="2"/>
  <c r="EF31" i="13"/>
  <c r="EG32" i="13"/>
  <c r="EF30" i="13"/>
  <c r="EG31" i="13"/>
  <c r="DV9" i="13"/>
  <c r="GL8" i="2"/>
  <c r="DX9" i="13"/>
  <c r="DW9" i="13"/>
  <c r="GM8" i="2"/>
  <c r="GM12" i="2"/>
  <c r="EG33" i="13"/>
  <c r="GL9" i="2"/>
  <c r="GM10" i="2"/>
  <c r="GM11" i="2"/>
  <c r="GL10" i="2"/>
  <c r="GM9" i="2"/>
  <c r="GO7" i="2"/>
  <c r="GZ7" i="2"/>
  <c r="GZ12" i="2"/>
  <c r="IS7" i="2"/>
  <c r="HA9" i="2"/>
  <c r="GP7" i="2"/>
  <c r="IU7" i="2"/>
  <c r="IT7" i="2"/>
  <c r="HA10" i="2"/>
  <c r="HA12" i="2"/>
  <c r="HA8" i="2"/>
  <c r="HA7" i="2"/>
  <c r="HA11" i="2"/>
  <c r="HS7" i="2"/>
  <c r="GQ7" i="2"/>
  <c r="HB10" i="2"/>
  <c r="HR7" i="2"/>
  <c r="GZ8" i="2"/>
  <c r="IR7" i="2"/>
  <c r="GZ9" i="2"/>
  <c r="HQ7" i="2"/>
  <c r="HB7" i="2"/>
  <c r="GZ10" i="2"/>
  <c r="GN7" i="2"/>
  <c r="GZ11" i="2"/>
  <c r="GH12" i="2"/>
  <c r="GH8" i="2"/>
  <c r="GH11" i="2"/>
  <c r="GH10" i="2"/>
  <c r="GH9" i="2"/>
  <c r="GH7" i="2"/>
  <c r="EH37" i="13"/>
  <c r="EH36" i="13"/>
  <c r="EH35" i="13"/>
  <c r="EH34" i="13"/>
  <c r="EI34" i="13"/>
  <c r="EI36" i="13"/>
  <c r="EI35" i="13"/>
  <c r="EI37" i="13"/>
  <c r="IW7" i="2"/>
  <c r="GS7" i="2"/>
  <c r="IX7" i="2"/>
  <c r="IY7" i="2"/>
  <c r="GT7" i="2"/>
  <c r="GU7" i="2"/>
  <c r="HU7" i="2"/>
  <c r="IW10" i="2"/>
  <c r="GS10" i="2"/>
  <c r="HV10" i="2"/>
  <c r="HW10" i="2"/>
  <c r="IX10" i="2"/>
  <c r="IY10" i="2"/>
  <c r="GU10" i="2"/>
  <c r="GT10" i="2"/>
  <c r="HU10" i="2"/>
  <c r="HC10" i="2"/>
  <c r="HD10" i="2"/>
  <c r="HC8" i="2"/>
  <c r="HD7" i="2"/>
  <c r="HD9" i="2"/>
  <c r="HC9" i="2"/>
  <c r="HD11" i="2"/>
  <c r="HD8" i="2"/>
  <c r="HC12" i="2"/>
  <c r="HC7" i="2"/>
  <c r="HC11" i="2"/>
  <c r="HD12" i="2"/>
  <c r="EI29" i="13"/>
  <c r="EL29" i="13"/>
  <c r="EI33" i="13"/>
  <c r="EL33" i="13"/>
  <c r="EI30" i="13"/>
  <c r="EL30" i="13"/>
  <c r="EI31" i="13"/>
  <c r="EL31" i="13"/>
  <c r="EI32" i="13"/>
  <c r="EL32" i="13"/>
  <c r="EI28" i="13"/>
  <c r="EL28" i="13"/>
  <c r="EH32" i="13"/>
  <c r="EH30" i="13"/>
  <c r="EH31" i="13"/>
  <c r="EH33" i="13"/>
  <c r="EJ33" i="13"/>
  <c r="EH29" i="13"/>
  <c r="EH28" i="13"/>
  <c r="EN32" i="13"/>
  <c r="EO32" i="13"/>
  <c r="FC32" i="13"/>
  <c r="EN30" i="13"/>
  <c r="EO30" i="13"/>
  <c r="FC30" i="13"/>
  <c r="EN31" i="13"/>
  <c r="EO31" i="13"/>
  <c r="FC31" i="13"/>
  <c r="EN33" i="13"/>
  <c r="EO33" i="13"/>
  <c r="EN29" i="13"/>
  <c r="EO29" i="13"/>
  <c r="FC29" i="13"/>
  <c r="EN28" i="13"/>
  <c r="EO28" i="13"/>
  <c r="FC28" i="13"/>
  <c r="DY9" i="13"/>
  <c r="DY7" i="13"/>
  <c r="EZ37" i="13"/>
  <c r="EZ35" i="13"/>
  <c r="EZ36" i="13"/>
  <c r="EZ34" i="13"/>
  <c r="HP7" i="2"/>
  <c r="EZ28" i="13"/>
  <c r="FB28" i="13"/>
  <c r="EG12" i="13"/>
  <c r="EZ30" i="13"/>
  <c r="IZ7" i="2"/>
  <c r="GW10" i="2"/>
  <c r="EG11" i="13"/>
  <c r="JA10" i="2"/>
  <c r="EF7" i="13"/>
  <c r="EG8" i="13"/>
  <c r="JB7" i="2"/>
  <c r="JA7" i="2"/>
  <c r="EF9" i="13"/>
  <c r="EZ32" i="13"/>
  <c r="HZ10" i="2"/>
  <c r="GV10" i="2"/>
  <c r="EF10" i="13"/>
  <c r="JB10" i="2"/>
  <c r="EZ33" i="13"/>
  <c r="IZ10" i="2"/>
  <c r="HX10" i="2"/>
  <c r="GX10" i="2"/>
  <c r="EG9" i="13"/>
  <c r="EG7" i="13"/>
  <c r="EZ29" i="13"/>
  <c r="EG10" i="13"/>
  <c r="GV7" i="2"/>
  <c r="EF8" i="13"/>
  <c r="EF12" i="13"/>
  <c r="HY10" i="2"/>
  <c r="GW7" i="2"/>
  <c r="GX7" i="2"/>
  <c r="EF11" i="13"/>
  <c r="EZ31" i="13"/>
  <c r="HW7" i="2"/>
  <c r="HV7" i="2"/>
  <c r="GI7" i="2"/>
  <c r="GI10" i="2"/>
  <c r="EJ28" i="13"/>
  <c r="EJ30" i="13"/>
  <c r="EJ31" i="13"/>
  <c r="EJ37" i="13"/>
  <c r="EJ35" i="13"/>
  <c r="EJ36" i="13"/>
  <c r="EJ29" i="13"/>
  <c r="EJ32" i="13"/>
  <c r="EJ34" i="13"/>
  <c r="HE10" i="2"/>
  <c r="HE7" i="2"/>
  <c r="JC7" i="2"/>
  <c r="JJ5" i="2"/>
  <c r="IA10" i="2"/>
  <c r="II5" i="2"/>
  <c r="GY10" i="2"/>
  <c r="GY7" i="2"/>
  <c r="JC10" i="2"/>
  <c r="JK5" i="2"/>
  <c r="FC33" i="13"/>
  <c r="FE28" i="13"/>
  <c r="EM28" i="13"/>
  <c r="EI12" i="13"/>
  <c r="EI11" i="13"/>
  <c r="EI10" i="13"/>
  <c r="EI9" i="13"/>
  <c r="EI8" i="13"/>
  <c r="EI7" i="13"/>
  <c r="EH9" i="13"/>
  <c r="EH11" i="13"/>
  <c r="EH10" i="13"/>
  <c r="EH12" i="13"/>
  <c r="EH8" i="13"/>
  <c r="EH7" i="13"/>
  <c r="EN9" i="13"/>
  <c r="EN11" i="13"/>
  <c r="EN10" i="13"/>
  <c r="EN12" i="13"/>
  <c r="EN8" i="13"/>
  <c r="EN7" i="13"/>
  <c r="EO7" i="13"/>
  <c r="FD7" i="13"/>
  <c r="HZ7" i="2"/>
  <c r="HX7" i="2"/>
  <c r="HY7" i="2"/>
  <c r="EQ30" i="13"/>
  <c r="HF12" i="2"/>
  <c r="HF7" i="2"/>
  <c r="EP30" i="13"/>
  <c r="HG9" i="2"/>
  <c r="HG8" i="2"/>
  <c r="HG7" i="2"/>
  <c r="HF10" i="2"/>
  <c r="HF8" i="2"/>
  <c r="HG11" i="2"/>
  <c r="EQ28" i="13"/>
  <c r="HF11" i="2"/>
  <c r="EP28" i="13"/>
  <c r="HF9" i="2"/>
  <c r="HG10" i="2"/>
  <c r="HG12" i="2"/>
  <c r="IA7" i="2"/>
  <c r="IH5" i="2"/>
  <c r="HL12" i="2"/>
  <c r="HH12" i="2"/>
  <c r="HH7" i="2"/>
  <c r="HL7" i="2"/>
  <c r="HL11" i="2"/>
  <c r="HH11" i="2"/>
  <c r="HL10" i="2"/>
  <c r="HH10" i="2"/>
  <c r="HH8" i="2"/>
  <c r="HL8" i="2"/>
  <c r="HH9" i="2"/>
  <c r="HL9" i="2"/>
  <c r="HI10" i="2"/>
  <c r="HI11" i="2"/>
  <c r="HI7" i="2"/>
  <c r="HI12" i="2"/>
  <c r="HI8" i="2"/>
  <c r="HI9" i="2"/>
  <c r="HG5" i="2"/>
  <c r="HF5" i="2"/>
  <c r="ES30" i="13"/>
  <c r="ET30" i="13"/>
  <c r="EU30" i="13"/>
  <c r="ES28" i="13"/>
  <c r="EU28" i="13"/>
  <c r="ET28" i="13"/>
  <c r="EK28" i="13"/>
  <c r="EK31" i="13"/>
  <c r="EO9" i="13"/>
  <c r="EO11" i="13"/>
  <c r="EO12" i="13"/>
  <c r="EO8" i="13"/>
  <c r="EO10" i="13"/>
  <c r="EL11" i="13"/>
  <c r="EJ11" i="13"/>
  <c r="EL12" i="13"/>
  <c r="EJ12" i="13"/>
  <c r="EL8" i="13"/>
  <c r="EJ8" i="13"/>
  <c r="EL10" i="13"/>
  <c r="EJ10" i="13"/>
  <c r="EJ9" i="13"/>
  <c r="EL9" i="13"/>
  <c r="EL7" i="13"/>
  <c r="EJ7" i="13"/>
  <c r="EX30" i="13"/>
  <c r="FA12" i="13"/>
  <c r="FA9" i="13"/>
  <c r="FA10" i="13"/>
  <c r="FA11" i="13"/>
  <c r="FB10" i="13"/>
  <c r="EV30" i="13"/>
  <c r="HM7" i="2"/>
  <c r="HN12" i="2"/>
  <c r="EW30" i="13"/>
  <c r="FA8" i="13"/>
  <c r="HO12" i="2"/>
  <c r="HN10" i="2"/>
  <c r="HO8" i="2"/>
  <c r="HO9" i="2"/>
  <c r="EV28" i="13"/>
  <c r="FA7" i="13"/>
  <c r="HO7" i="2"/>
  <c r="HN7" i="2"/>
  <c r="HO11" i="2"/>
  <c r="HO10" i="2"/>
  <c r="IC9" i="2"/>
  <c r="HN8" i="2"/>
  <c r="HN9" i="2"/>
  <c r="HN11" i="2"/>
  <c r="IB12" i="2"/>
  <c r="IB10" i="2"/>
  <c r="IB8" i="2"/>
  <c r="IC8" i="2"/>
  <c r="IC7" i="2"/>
  <c r="IC10" i="2"/>
  <c r="IC11" i="2"/>
  <c r="ID10" i="2"/>
  <c r="IC12" i="2"/>
  <c r="IB7" i="2"/>
  <c r="IB9" i="2"/>
  <c r="ID7" i="2"/>
  <c r="HJ12" i="2"/>
  <c r="HJ7" i="2"/>
  <c r="HJ9" i="2"/>
  <c r="HJ11" i="2"/>
  <c r="HJ8" i="2"/>
  <c r="HJ10" i="2"/>
  <c r="IF11" i="2"/>
  <c r="IE9" i="2"/>
  <c r="IE10" i="2"/>
  <c r="IF9" i="2"/>
  <c r="IE8" i="2"/>
  <c r="IF7" i="2"/>
  <c r="IF8" i="2"/>
  <c r="IE12" i="2"/>
  <c r="IF12" i="2"/>
  <c r="IE11" i="2"/>
  <c r="IE7" i="2"/>
  <c r="IF10" i="2"/>
  <c r="EY30" i="13"/>
  <c r="EY28" i="13"/>
  <c r="FD10" i="13"/>
  <c r="FD8" i="13"/>
  <c r="FD9" i="13"/>
  <c r="FD12" i="13"/>
  <c r="FD11" i="13"/>
  <c r="EM7" i="13"/>
  <c r="EK7" i="13"/>
  <c r="EK10" i="13"/>
  <c r="FG36" i="13"/>
  <c r="FG37" i="13"/>
  <c r="FG35" i="13"/>
  <c r="FG34" i="13"/>
  <c r="FF34" i="13"/>
  <c r="FF36" i="13"/>
  <c r="FF35" i="13"/>
  <c r="FF37" i="13"/>
  <c r="EP7" i="13"/>
  <c r="FF31" i="13"/>
  <c r="EQ7" i="13"/>
  <c r="EP9" i="13"/>
  <c r="FG33" i="13"/>
  <c r="FF32" i="13"/>
  <c r="FF33" i="13"/>
  <c r="FG29" i="13"/>
  <c r="EQ9" i="13"/>
  <c r="FF28" i="13"/>
  <c r="IB11" i="2"/>
  <c r="FF29" i="13"/>
  <c r="FG32" i="13"/>
  <c r="FG31" i="13"/>
  <c r="FG30" i="13"/>
  <c r="FF30" i="13"/>
  <c r="FG28" i="13"/>
  <c r="FH37" i="13"/>
  <c r="FH35" i="13"/>
  <c r="FH36" i="13"/>
  <c r="FH34" i="13"/>
  <c r="FI34" i="13"/>
  <c r="FI35" i="13"/>
  <c r="FI37" i="13"/>
  <c r="FI36" i="13"/>
  <c r="IG10" i="2"/>
  <c r="IG7" i="2"/>
  <c r="HK7" i="2"/>
  <c r="HK10" i="2"/>
  <c r="FI29" i="13"/>
  <c r="FL29" i="13"/>
  <c r="FI33" i="13"/>
  <c r="FL33" i="13"/>
  <c r="FI30" i="13"/>
  <c r="FL30" i="13"/>
  <c r="FI31" i="13"/>
  <c r="FL31" i="13"/>
  <c r="FI32" i="13"/>
  <c r="FL32" i="13"/>
  <c r="FI28" i="13"/>
  <c r="FL28" i="13"/>
  <c r="FH32" i="13"/>
  <c r="FH31" i="13"/>
  <c r="FH30" i="13"/>
  <c r="FH33" i="13"/>
  <c r="FJ33" i="13"/>
  <c r="FH29" i="13"/>
  <c r="FH28" i="13"/>
  <c r="FN32" i="13"/>
  <c r="FO32" i="13"/>
  <c r="GC32" i="13"/>
  <c r="FN31" i="13"/>
  <c r="FO31" i="13"/>
  <c r="GC31" i="13"/>
  <c r="FN30" i="13"/>
  <c r="FO30" i="13"/>
  <c r="GC30" i="13"/>
  <c r="FN33" i="13"/>
  <c r="FO33" i="13"/>
  <c r="FN29" i="13"/>
  <c r="FO29" i="13"/>
  <c r="GC29" i="13"/>
  <c r="FN28" i="13"/>
  <c r="FO28" i="13"/>
  <c r="GC28" i="13"/>
  <c r="FI15" i="13"/>
  <c r="FI16" i="13"/>
  <c r="FI13" i="13"/>
  <c r="FI14" i="13"/>
  <c r="FH15" i="13"/>
  <c r="FH16" i="13"/>
  <c r="FH13" i="13"/>
  <c r="FH14" i="13"/>
  <c r="ES9" i="13"/>
  <c r="ET9" i="13"/>
  <c r="EU9" i="13"/>
  <c r="ES7" i="13"/>
  <c r="ET7" i="13"/>
  <c r="EU7" i="13"/>
  <c r="FE10" i="13"/>
  <c r="FZ37" i="13"/>
  <c r="FZ36" i="13"/>
  <c r="FZ35" i="13"/>
  <c r="FZ34" i="13"/>
  <c r="IH12" i="2"/>
  <c r="EW7" i="13"/>
  <c r="FZ29" i="13"/>
  <c r="EV9" i="13"/>
  <c r="EX7" i="13"/>
  <c r="IH10" i="2"/>
  <c r="FZ32" i="13"/>
  <c r="FZ31" i="13"/>
  <c r="FZ33" i="13"/>
  <c r="II12" i="2"/>
  <c r="II9" i="2"/>
  <c r="GB28" i="13"/>
  <c r="II10" i="2"/>
  <c r="IH11" i="2"/>
  <c r="EV7" i="13"/>
  <c r="FZ28" i="13"/>
  <c r="FZ30" i="13"/>
  <c r="II8" i="2"/>
  <c r="IH8" i="2"/>
  <c r="IH9" i="2"/>
  <c r="II11" i="2"/>
  <c r="IH7" i="2"/>
  <c r="EW9" i="13"/>
  <c r="II7" i="2"/>
  <c r="EX9" i="13"/>
  <c r="FJ31" i="13"/>
  <c r="FJ29" i="13"/>
  <c r="FJ32" i="13"/>
  <c r="FJ28" i="13"/>
  <c r="FJ36" i="13"/>
  <c r="FJ35" i="13"/>
  <c r="FJ37" i="13"/>
  <c r="FJ30" i="13"/>
  <c r="FJ34" i="13"/>
  <c r="IK8" i="2"/>
  <c r="IK10" i="2"/>
  <c r="IK12" i="2"/>
  <c r="IK11" i="2"/>
  <c r="IK9" i="2"/>
  <c r="IK7" i="2"/>
  <c r="IJ8" i="2"/>
  <c r="IN8" i="2"/>
  <c r="IJ11" i="2"/>
  <c r="IN11" i="2"/>
  <c r="IJ7" i="2"/>
  <c r="IN7" i="2"/>
  <c r="IJ10" i="2"/>
  <c r="IN10" i="2"/>
  <c r="IJ9" i="2"/>
  <c r="IN9" i="2"/>
  <c r="IJ12" i="2"/>
  <c r="IN12" i="2"/>
  <c r="GC33" i="13"/>
  <c r="GE28" i="13"/>
  <c r="FM28" i="13"/>
  <c r="EY9" i="13"/>
  <c r="EY7" i="13"/>
  <c r="FG10" i="13"/>
  <c r="FG8" i="13"/>
  <c r="FP30" i="13"/>
  <c r="FF8" i="13"/>
  <c r="FF7" i="13"/>
  <c r="IO7" i="2"/>
  <c r="FG7" i="13"/>
  <c r="IP9" i="2"/>
  <c r="IP7" i="2"/>
  <c r="FG12" i="13"/>
  <c r="IQ8" i="2"/>
  <c r="FF9" i="13"/>
  <c r="FQ30" i="13"/>
  <c r="FQ28" i="13"/>
  <c r="FF12" i="13"/>
  <c r="FG11" i="13"/>
  <c r="IP11" i="2"/>
  <c r="FF11" i="13"/>
  <c r="FP28" i="13"/>
  <c r="FF10" i="13"/>
  <c r="IQ12" i="2"/>
  <c r="IP12" i="2"/>
  <c r="IQ9" i="2"/>
  <c r="IQ11" i="2"/>
  <c r="IP10" i="2"/>
  <c r="IQ7" i="2"/>
  <c r="FG9" i="13"/>
  <c r="IP8" i="2"/>
  <c r="IQ10" i="2"/>
  <c r="JF10" i="2"/>
  <c r="JE10" i="2"/>
  <c r="JE7" i="2"/>
  <c r="JE8" i="2"/>
  <c r="JD8" i="2"/>
  <c r="JD9" i="2"/>
  <c r="JF7" i="2"/>
  <c r="JD12" i="2"/>
  <c r="JD10" i="2"/>
  <c r="JD7" i="2"/>
  <c r="JD11" i="2"/>
  <c r="JE11" i="2"/>
  <c r="JE9" i="2"/>
  <c r="IL11" i="2"/>
  <c r="IL12" i="2"/>
  <c r="IL7" i="2"/>
  <c r="IL10" i="2"/>
  <c r="IL9" i="2"/>
  <c r="IL8" i="2"/>
  <c r="E18" i="2"/>
  <c r="JG11" i="2"/>
  <c r="JG12" i="2"/>
  <c r="E19" i="2"/>
  <c r="B14" i="2"/>
  <c r="IQ5" i="2"/>
  <c r="JH7" i="2"/>
  <c r="B19" i="2"/>
  <c r="JH12" i="2"/>
  <c r="B17" i="2"/>
  <c r="JH10" i="2"/>
  <c r="E16" i="2"/>
  <c r="JG9" i="2"/>
  <c r="JG8" i="2"/>
  <c r="E15" i="2"/>
  <c r="B18" i="2"/>
  <c r="JH11" i="2"/>
  <c r="B16" i="2"/>
  <c r="JH9" i="2"/>
  <c r="E17" i="2"/>
  <c r="JG10" i="2"/>
  <c r="JH8" i="2"/>
  <c r="B15" i="2"/>
  <c r="E14" i="2"/>
  <c r="JG7" i="2"/>
  <c r="IP5" i="2"/>
  <c r="B13" i="2"/>
  <c r="E13" i="2"/>
  <c r="FS30" i="13"/>
  <c r="FT30" i="13"/>
  <c r="FU30" i="13"/>
  <c r="FS28" i="13"/>
  <c r="FU28" i="13"/>
  <c r="FT28" i="13"/>
  <c r="FK28" i="13"/>
  <c r="FK31" i="13"/>
  <c r="FI8" i="13"/>
  <c r="FI9" i="13"/>
  <c r="FI11" i="13"/>
  <c r="FI12" i="13"/>
  <c r="FI10" i="13"/>
  <c r="FI7" i="13"/>
  <c r="FH10" i="13"/>
  <c r="FH12" i="13"/>
  <c r="FH11" i="13"/>
  <c r="FH9" i="13"/>
  <c r="FH8" i="13"/>
  <c r="FH7" i="13"/>
  <c r="FN10" i="13"/>
  <c r="FO10" i="13"/>
  <c r="GD10" i="13"/>
  <c r="FN12" i="13"/>
  <c r="FO12" i="13"/>
  <c r="FN11" i="13"/>
  <c r="FO11" i="13"/>
  <c r="GD11" i="13"/>
  <c r="FN9" i="13"/>
  <c r="FO9" i="13"/>
  <c r="GD9" i="13"/>
  <c r="FN8" i="13"/>
  <c r="FO8" i="13"/>
  <c r="GD8" i="13"/>
  <c r="FN7" i="13"/>
  <c r="FO7" i="13"/>
  <c r="GD7" i="13"/>
  <c r="GA8" i="13"/>
  <c r="GA12" i="13"/>
  <c r="FX28" i="13"/>
  <c r="JE12" i="2"/>
  <c r="FX30" i="13"/>
  <c r="GA11" i="13"/>
  <c r="GA9" i="13"/>
  <c r="FW30" i="13"/>
  <c r="GB10" i="13"/>
  <c r="GA7" i="13"/>
  <c r="FV28" i="13"/>
  <c r="GA10" i="13"/>
  <c r="FV30" i="13"/>
  <c r="IM7" i="2"/>
  <c r="IM10" i="2"/>
  <c r="JI10" i="2"/>
  <c r="JI7" i="2"/>
  <c r="FY30" i="13"/>
  <c r="FY28" i="13"/>
  <c r="GD12" i="13"/>
  <c r="GE10" i="13"/>
  <c r="FL9" i="13"/>
  <c r="FJ9" i="13"/>
  <c r="FL12" i="13"/>
  <c r="FJ12" i="13"/>
  <c r="FL8" i="13"/>
  <c r="FJ8" i="13"/>
  <c r="FL11" i="13"/>
  <c r="FJ11" i="13"/>
  <c r="FL10" i="13"/>
  <c r="FJ10" i="13"/>
  <c r="FL7" i="13"/>
  <c r="FJ7" i="13"/>
  <c r="GF34" i="13"/>
  <c r="GF35" i="13"/>
  <c r="GF37" i="13"/>
  <c r="GF36" i="13"/>
  <c r="GG37" i="13"/>
  <c r="GG36" i="13"/>
  <c r="GG35" i="13"/>
  <c r="GG34" i="13"/>
  <c r="GG33" i="13"/>
  <c r="GF33" i="13"/>
  <c r="JK8" i="2"/>
  <c r="JJ7" i="2"/>
  <c r="JJ11" i="2"/>
  <c r="JJ9" i="2"/>
  <c r="JJ12" i="2"/>
  <c r="GF31" i="13"/>
  <c r="GF28" i="13"/>
  <c r="GF30" i="13"/>
  <c r="GG31" i="13"/>
  <c r="GG28" i="13"/>
  <c r="GG32" i="13"/>
  <c r="GG29" i="13"/>
  <c r="GF29" i="13"/>
  <c r="GF32" i="13"/>
  <c r="JK11" i="2"/>
  <c r="GG30" i="13"/>
  <c r="JK10" i="2"/>
  <c r="JK7" i="2"/>
  <c r="JJ8" i="2"/>
  <c r="JK12" i="2"/>
  <c r="JK9" i="2"/>
  <c r="JJ10" i="2"/>
  <c r="JM8" i="2"/>
  <c r="JM12" i="2"/>
  <c r="JM7" i="2"/>
  <c r="JM9" i="2"/>
  <c r="JM11" i="2"/>
  <c r="JM10" i="2"/>
  <c r="GI34" i="13"/>
  <c r="GI35" i="13"/>
  <c r="GI36" i="13"/>
  <c r="GI37" i="13"/>
  <c r="JL11" i="2"/>
  <c r="JL9" i="2"/>
  <c r="JL10" i="2"/>
  <c r="JL8" i="2"/>
  <c r="JL7" i="2"/>
  <c r="JL12" i="2"/>
  <c r="GH36" i="13"/>
  <c r="GH37" i="13"/>
  <c r="GH35" i="13"/>
  <c r="GH34" i="13"/>
  <c r="GI29" i="13"/>
  <c r="GL29" i="13"/>
  <c r="GI33" i="13"/>
  <c r="GL33" i="13"/>
  <c r="GI30" i="13"/>
  <c r="GL30" i="13"/>
  <c r="GI31" i="13"/>
  <c r="GL31" i="13"/>
  <c r="GI32" i="13"/>
  <c r="GL32" i="13"/>
  <c r="GI28" i="13"/>
  <c r="GL28" i="13"/>
  <c r="GH32" i="13"/>
  <c r="GH31" i="13"/>
  <c r="GH30" i="13"/>
  <c r="GH33" i="13"/>
  <c r="GH29" i="13"/>
  <c r="GH28" i="13"/>
  <c r="GN32" i="13"/>
  <c r="GO32" i="13"/>
  <c r="HC32" i="13"/>
  <c r="GN31" i="13"/>
  <c r="GO31" i="13"/>
  <c r="HC31" i="13"/>
  <c r="GN30" i="13"/>
  <c r="GO30" i="13"/>
  <c r="HC30" i="13"/>
  <c r="GN33" i="13"/>
  <c r="GO33" i="13"/>
  <c r="GN29" i="13"/>
  <c r="GO29" i="13"/>
  <c r="HC29" i="13"/>
  <c r="GN28" i="13"/>
  <c r="GO28" i="13"/>
  <c r="HC28" i="13"/>
  <c r="FK7" i="13"/>
  <c r="FK10" i="13"/>
  <c r="FM7" i="13"/>
  <c r="FQ7" i="13"/>
  <c r="FP7" i="13"/>
  <c r="GZ33" i="13"/>
  <c r="HZ31" i="13"/>
  <c r="FP9" i="13"/>
  <c r="HZ29" i="13"/>
  <c r="GZ29" i="13"/>
  <c r="HZ32" i="13"/>
  <c r="HZ30" i="13"/>
  <c r="GZ31" i="13"/>
  <c r="HB28" i="13"/>
  <c r="GZ30" i="13"/>
  <c r="IB28" i="13"/>
  <c r="GZ28" i="13"/>
  <c r="HZ28" i="13"/>
  <c r="GZ32" i="13"/>
  <c r="HZ33" i="13"/>
  <c r="FQ9" i="13"/>
  <c r="GJ33" i="13"/>
  <c r="JN9" i="2"/>
  <c r="JN7" i="2"/>
  <c r="JN10" i="2"/>
  <c r="JN8" i="2"/>
  <c r="JN11" i="2"/>
  <c r="JN12" i="2"/>
  <c r="HC33" i="13"/>
  <c r="HE28" i="13"/>
  <c r="GJ32" i="13"/>
  <c r="GJ30" i="13"/>
  <c r="GJ29" i="13"/>
  <c r="GJ28" i="13"/>
  <c r="GJ31" i="13"/>
  <c r="GM28" i="13"/>
  <c r="GI15" i="13"/>
  <c r="GI16" i="13"/>
  <c r="GI13" i="13"/>
  <c r="GI14" i="13"/>
  <c r="GH15" i="13"/>
  <c r="GH16" i="13"/>
  <c r="GH13" i="13"/>
  <c r="GH14" i="13"/>
  <c r="FS9" i="13"/>
  <c r="FT9" i="13"/>
  <c r="FU9" i="13"/>
  <c r="FS7" i="13"/>
  <c r="FU7" i="13"/>
  <c r="FT7" i="13"/>
  <c r="FX9" i="13"/>
  <c r="FW7" i="13"/>
  <c r="GP30" i="13"/>
  <c r="GP28" i="13"/>
  <c r="FV9" i="13"/>
  <c r="FV7" i="13"/>
  <c r="FW9" i="13"/>
  <c r="GQ30" i="13"/>
  <c r="GQ28" i="13"/>
  <c r="FX7" i="13"/>
  <c r="IH37" i="13"/>
  <c r="IH36" i="13"/>
  <c r="IH35" i="13"/>
  <c r="IH34" i="13"/>
  <c r="II37" i="13"/>
  <c r="II34" i="13"/>
  <c r="II36" i="13"/>
  <c r="II35" i="13"/>
  <c r="JO7" i="2"/>
  <c r="GS30" i="13"/>
  <c r="GT30" i="13"/>
  <c r="GU30" i="13"/>
  <c r="GS28" i="13"/>
  <c r="GU28" i="13"/>
  <c r="GT28" i="13"/>
  <c r="GK28" i="13"/>
  <c r="GK31" i="13"/>
  <c r="FY9" i="13"/>
  <c r="FY7" i="13"/>
  <c r="GX30" i="13"/>
  <c r="GV28" i="13"/>
  <c r="GX28" i="13"/>
  <c r="GG7" i="13"/>
  <c r="GW28" i="13"/>
  <c r="GF11" i="13"/>
  <c r="GG12" i="13"/>
  <c r="GF7" i="13"/>
  <c r="GF9" i="13"/>
  <c r="GG10" i="13"/>
  <c r="GG9" i="13"/>
  <c r="GF12" i="13"/>
  <c r="GW30" i="13"/>
  <c r="GF8" i="13"/>
  <c r="GV30" i="13"/>
  <c r="GF10" i="13"/>
  <c r="GG11" i="13"/>
  <c r="GG8" i="13"/>
  <c r="JO10" i="2"/>
  <c r="C26" i="2"/>
  <c r="GY30" i="13"/>
  <c r="GY28" i="13"/>
  <c r="GI10" i="13"/>
  <c r="GI12" i="13"/>
  <c r="GI11" i="13"/>
  <c r="GI9" i="13"/>
  <c r="GI8" i="13"/>
  <c r="GI7" i="13"/>
  <c r="GH10" i="13"/>
  <c r="GH12" i="13"/>
  <c r="GH11" i="13"/>
  <c r="GH9" i="13"/>
  <c r="GH8" i="13"/>
  <c r="GH7" i="13"/>
  <c r="GN10" i="13"/>
  <c r="GO10" i="13"/>
  <c r="HD10" i="13"/>
  <c r="GN12" i="13"/>
  <c r="GO12" i="13"/>
  <c r="GN11" i="13"/>
  <c r="GO11" i="13"/>
  <c r="HD11" i="13"/>
  <c r="GN9" i="13"/>
  <c r="GO9" i="13"/>
  <c r="HD9" i="13"/>
  <c r="GN8" i="13"/>
  <c r="GO8" i="13"/>
  <c r="HD8" i="13"/>
  <c r="GN7" i="13"/>
  <c r="GO7" i="13"/>
  <c r="HD7" i="13"/>
  <c r="HF31" i="13"/>
  <c r="IF29" i="13"/>
  <c r="IG32" i="13"/>
  <c r="HA11" i="13"/>
  <c r="IG31" i="13"/>
  <c r="IF32" i="13"/>
  <c r="HG28" i="13"/>
  <c r="IG29" i="13"/>
  <c r="HA10" i="13"/>
  <c r="IF30" i="13"/>
  <c r="IG33" i="13"/>
  <c r="HG31" i="13"/>
  <c r="HG29" i="13"/>
  <c r="IG28" i="13"/>
  <c r="HF28" i="13"/>
  <c r="HG30" i="13"/>
  <c r="HG33" i="13"/>
  <c r="HA9" i="13"/>
  <c r="IF33" i="13"/>
  <c r="HG32" i="13"/>
  <c r="IF28" i="13"/>
  <c r="HA7" i="13"/>
  <c r="HB10" i="13"/>
  <c r="HF33" i="13"/>
  <c r="IF31" i="13"/>
  <c r="HA8" i="13"/>
  <c r="HF30" i="13"/>
  <c r="HA12" i="13"/>
  <c r="HF29" i="13"/>
  <c r="IG30" i="13"/>
  <c r="HF32" i="13"/>
  <c r="IN29" i="13"/>
  <c r="IO29" i="13"/>
  <c r="IN32" i="13"/>
  <c r="IO32" i="13"/>
  <c r="IN33" i="13"/>
  <c r="IO33" i="13"/>
  <c r="IN30" i="13"/>
  <c r="IO30" i="13"/>
  <c r="IN28" i="13"/>
  <c r="IO28" i="13"/>
  <c r="IN31" i="13"/>
  <c r="IO31" i="13"/>
  <c r="II33" i="13"/>
  <c r="IL33" i="13"/>
  <c r="II29" i="13"/>
  <c r="IL29" i="13"/>
  <c r="II31" i="13"/>
  <c r="IL31" i="13"/>
  <c r="II28" i="13"/>
  <c r="IL28" i="13"/>
  <c r="II32" i="13"/>
  <c r="IL32" i="13"/>
  <c r="II30" i="13"/>
  <c r="IL30" i="13"/>
  <c r="HI34" i="13"/>
  <c r="HI35" i="13"/>
  <c r="HI37" i="13"/>
  <c r="HI36" i="13"/>
  <c r="HH36" i="13"/>
  <c r="HH37" i="13"/>
  <c r="HH35" i="13"/>
  <c r="HH34" i="13"/>
  <c r="HI29" i="13"/>
  <c r="HL29" i="13"/>
  <c r="HI33" i="13"/>
  <c r="HL33" i="13"/>
  <c r="HI30" i="13"/>
  <c r="HL30" i="13"/>
  <c r="HI31" i="13"/>
  <c r="HL31" i="13"/>
  <c r="HI32" i="13"/>
  <c r="HL32" i="13"/>
  <c r="HI28" i="13"/>
  <c r="HL28" i="13"/>
  <c r="HH32" i="13"/>
  <c r="HH31" i="13"/>
  <c r="HH30" i="13"/>
  <c r="HH33" i="13"/>
  <c r="HH29" i="13"/>
  <c r="HH28" i="13"/>
  <c r="HN32" i="13"/>
  <c r="HO32" i="13"/>
  <c r="IC32" i="13"/>
  <c r="HN31" i="13"/>
  <c r="HO31" i="13"/>
  <c r="IC31" i="13"/>
  <c r="HN30" i="13"/>
  <c r="HO30" i="13"/>
  <c r="IC30" i="13"/>
  <c r="HN33" i="13"/>
  <c r="HO33" i="13"/>
  <c r="HN29" i="13"/>
  <c r="HO29" i="13"/>
  <c r="IC29" i="13"/>
  <c r="HN28" i="13"/>
  <c r="HO28" i="13"/>
  <c r="IC28" i="13"/>
  <c r="HD12" i="13"/>
  <c r="HE10" i="13"/>
  <c r="GL9" i="13"/>
  <c r="GJ9" i="13"/>
  <c r="GL12" i="13"/>
  <c r="GJ12" i="13"/>
  <c r="GL8" i="13"/>
  <c r="GJ8" i="13"/>
  <c r="GL11" i="13"/>
  <c r="GJ11" i="13"/>
  <c r="GL10" i="13"/>
  <c r="GJ10" i="13"/>
  <c r="GL7" i="13"/>
  <c r="GJ7" i="13"/>
  <c r="HJ31" i="13"/>
  <c r="IM28" i="13"/>
  <c r="IC33" i="13"/>
  <c r="IE28" i="13"/>
  <c r="IH31" i="13"/>
  <c r="IJ31" i="13"/>
  <c r="IH30" i="13"/>
  <c r="IJ30" i="13"/>
  <c r="IH32" i="13"/>
  <c r="IJ32" i="13"/>
  <c r="IH28" i="13"/>
  <c r="IJ28" i="13"/>
  <c r="IH33" i="13"/>
  <c r="IJ33" i="13"/>
  <c r="IH29" i="13"/>
  <c r="IJ29" i="13"/>
  <c r="HJ28" i="13"/>
  <c r="HJ32" i="13"/>
  <c r="HJ29" i="13"/>
  <c r="HJ33" i="13"/>
  <c r="HJ30" i="13"/>
  <c r="HM28" i="13"/>
  <c r="GK7" i="13"/>
  <c r="GK10" i="13"/>
  <c r="GM7" i="13"/>
  <c r="HQ28" i="13"/>
  <c r="GP7" i="13"/>
  <c r="HQ30" i="13"/>
  <c r="GQ9" i="13"/>
  <c r="HP28" i="13"/>
  <c r="GQ7" i="13"/>
  <c r="HP30" i="13"/>
  <c r="GP9" i="13"/>
  <c r="HS30" i="13"/>
  <c r="HT30" i="13"/>
  <c r="HU30" i="13"/>
  <c r="HS28" i="13"/>
  <c r="HU28" i="13"/>
  <c r="HT28" i="13"/>
  <c r="IK28" i="13"/>
  <c r="IK31" i="13"/>
  <c r="HK28" i="13"/>
  <c r="HK31" i="13"/>
  <c r="HI15" i="13"/>
  <c r="HI16" i="13"/>
  <c r="HI13" i="13"/>
  <c r="HI14" i="13"/>
  <c r="HH15" i="13"/>
  <c r="HH16" i="13"/>
  <c r="HH13" i="13"/>
  <c r="HH14" i="13"/>
  <c r="GS9" i="13"/>
  <c r="GT9" i="13"/>
  <c r="GU9" i="13"/>
  <c r="GS7" i="13"/>
  <c r="GT7" i="13"/>
  <c r="GU7" i="13"/>
  <c r="GV7" i="13"/>
  <c r="HV30" i="13"/>
  <c r="HW30" i="13"/>
  <c r="GX7" i="13"/>
  <c r="HX30" i="13"/>
  <c r="GW7" i="13"/>
  <c r="GW9" i="13"/>
  <c r="GV9" i="13"/>
  <c r="HV28" i="13"/>
  <c r="HX28" i="13"/>
  <c r="HW28" i="13"/>
  <c r="GX9" i="13"/>
  <c r="HY30" i="13"/>
  <c r="HY28" i="13"/>
  <c r="GY9" i="13"/>
  <c r="GY7" i="13"/>
  <c r="HF8" i="13"/>
  <c r="HF7" i="13"/>
  <c r="HG12" i="13"/>
  <c r="HF10" i="13"/>
  <c r="HG10" i="13"/>
  <c r="HG7" i="13"/>
  <c r="HG11" i="13"/>
  <c r="HG9" i="13"/>
  <c r="HF9" i="13"/>
  <c r="HF11" i="13"/>
  <c r="HF12" i="13"/>
  <c r="HG8" i="13"/>
  <c r="HI11" i="13"/>
  <c r="HI10" i="13"/>
  <c r="HI9" i="13"/>
  <c r="HI12" i="13"/>
  <c r="HI8" i="13"/>
  <c r="HI7" i="13"/>
  <c r="HH10" i="13"/>
  <c r="HH11" i="13"/>
  <c r="HH9" i="13"/>
  <c r="HH12" i="13"/>
  <c r="HH8" i="13"/>
  <c r="HH7" i="13"/>
  <c r="HN10" i="13"/>
  <c r="HO10" i="13"/>
  <c r="ID10" i="13"/>
  <c r="HN11" i="13"/>
  <c r="HO11" i="13"/>
  <c r="ID11" i="13"/>
  <c r="HN9" i="13"/>
  <c r="HO9" i="13"/>
  <c r="ID9" i="13"/>
  <c r="HN12" i="13"/>
  <c r="HO12" i="13"/>
  <c r="HN8" i="13"/>
  <c r="HO8" i="13"/>
  <c r="ID8" i="13"/>
  <c r="HN7" i="13"/>
  <c r="HO7" i="13"/>
  <c r="ID7" i="13"/>
  <c r="IA11" i="13"/>
  <c r="IA12" i="13"/>
  <c r="JA10" i="13"/>
  <c r="JA11" i="13"/>
  <c r="JA12" i="13"/>
  <c r="JA9" i="13"/>
  <c r="IA7" i="13"/>
  <c r="IA8" i="13"/>
  <c r="JA8" i="13"/>
  <c r="IA9" i="13"/>
  <c r="IA10" i="13"/>
  <c r="IB10" i="13"/>
  <c r="ID12" i="13"/>
  <c r="IE10" i="13"/>
  <c r="HL12" i="13"/>
  <c r="HJ12" i="13"/>
  <c r="HL11" i="13"/>
  <c r="HJ11" i="13"/>
  <c r="HL8" i="13"/>
  <c r="HJ8" i="13"/>
  <c r="HL9" i="13"/>
  <c r="HJ9" i="13"/>
  <c r="HL10" i="13"/>
  <c r="HJ10" i="13"/>
  <c r="HL7" i="13"/>
  <c r="HJ7" i="13"/>
  <c r="HM7" i="13"/>
  <c r="HK7" i="13"/>
  <c r="HK10" i="13"/>
  <c r="HQ7" i="13"/>
  <c r="HQ9" i="13"/>
  <c r="HP7" i="13"/>
  <c r="HP9" i="13"/>
  <c r="II15" i="13"/>
  <c r="II16" i="13"/>
  <c r="II13" i="13"/>
  <c r="II14" i="13"/>
  <c r="IH15" i="13"/>
  <c r="IH16" i="13"/>
  <c r="IH13" i="13"/>
  <c r="IH14" i="13"/>
  <c r="HS9" i="13"/>
  <c r="HT9" i="13"/>
  <c r="HU9" i="13"/>
  <c r="HS7" i="13"/>
  <c r="HU7" i="13"/>
  <c r="HT7" i="13"/>
  <c r="HX7" i="13"/>
  <c r="HV7" i="13"/>
  <c r="HW9" i="13"/>
  <c r="HX9" i="13"/>
  <c r="HW7" i="13"/>
  <c r="HV9" i="13"/>
  <c r="HY9" i="13"/>
  <c r="HY7" i="13"/>
  <c r="IG9" i="13"/>
  <c r="IF10" i="13"/>
  <c r="IG12" i="13"/>
  <c r="IF8" i="13"/>
  <c r="IG11" i="13"/>
  <c r="IG10" i="13"/>
  <c r="IF9" i="13"/>
  <c r="IG8" i="13"/>
  <c r="IF7" i="13"/>
  <c r="IG7" i="13"/>
  <c r="IF11" i="13"/>
  <c r="IF12" i="13"/>
  <c r="II10" i="13"/>
  <c r="II12" i="13"/>
  <c r="II11" i="13"/>
  <c r="II9" i="13"/>
  <c r="II8" i="13"/>
  <c r="II7" i="13"/>
  <c r="IH8" i="13"/>
  <c r="IH11" i="13"/>
  <c r="IH12" i="13"/>
  <c r="IH9" i="13"/>
  <c r="IH10" i="13"/>
  <c r="IH7" i="13"/>
  <c r="IN8" i="13"/>
  <c r="IO8" i="13"/>
  <c r="JD8" i="13"/>
  <c r="IN11" i="13"/>
  <c r="IO11" i="13"/>
  <c r="JD11" i="13"/>
  <c r="IN12" i="13"/>
  <c r="IO12" i="13"/>
  <c r="IN9" i="13"/>
  <c r="IO9" i="13"/>
  <c r="JD9" i="13"/>
  <c r="IN10" i="13"/>
  <c r="IO10" i="13"/>
  <c r="JD10" i="13"/>
  <c r="IN7" i="13"/>
  <c r="IO7" i="13"/>
  <c r="JD7" i="13"/>
  <c r="JA7" i="13"/>
  <c r="JB10" i="13"/>
  <c r="JD12" i="13"/>
  <c r="JE10" i="13"/>
  <c r="IL9" i="13"/>
  <c r="IJ9" i="13"/>
  <c r="IL11" i="13"/>
  <c r="IJ11" i="13"/>
  <c r="IL10" i="13"/>
  <c r="IJ10" i="13"/>
  <c r="IL12" i="13"/>
  <c r="IJ12" i="13"/>
  <c r="IL8" i="13"/>
  <c r="IJ8" i="13"/>
  <c r="IL7" i="13"/>
  <c r="IJ7" i="13"/>
  <c r="IK7" i="13"/>
  <c r="IK10" i="13"/>
  <c r="IM7" i="13"/>
  <c r="IQ7" i="13"/>
  <c r="IP7" i="13"/>
  <c r="IQ9" i="13"/>
  <c r="IP9" i="13"/>
  <c r="JI15" i="13"/>
  <c r="JI16" i="13"/>
  <c r="JI13" i="13"/>
  <c r="JI14" i="13"/>
  <c r="JH13" i="13"/>
  <c r="JH14" i="13"/>
  <c r="JH15" i="13"/>
  <c r="JH16" i="13"/>
  <c r="IS9" i="13"/>
  <c r="IU9" i="13"/>
  <c r="IT9" i="13"/>
  <c r="IS7" i="13"/>
  <c r="IU7" i="13"/>
  <c r="IT7" i="13"/>
  <c r="IX7" i="13"/>
  <c r="IV7" i="13"/>
  <c r="IX9" i="13"/>
  <c r="IW9" i="13"/>
  <c r="IV9" i="13"/>
  <c r="IW7" i="13"/>
  <c r="IY9" i="13"/>
  <c r="IY7" i="13"/>
  <c r="JF10" i="13"/>
  <c r="JF7" i="13"/>
  <c r="JF9" i="13"/>
  <c r="JG11" i="13"/>
  <c r="JG12" i="13"/>
  <c r="JF11" i="13"/>
  <c r="JG7" i="13"/>
  <c r="JF8" i="13"/>
  <c r="JF12" i="13"/>
  <c r="JG9" i="13"/>
  <c r="JG10" i="13"/>
  <c r="JG8" i="13"/>
  <c r="JI10" i="13"/>
  <c r="JI9" i="13"/>
  <c r="JI12" i="13"/>
  <c r="JI8" i="13"/>
  <c r="JI11" i="13"/>
  <c r="JI7" i="13"/>
  <c r="JH12" i="13"/>
  <c r="JH11" i="13"/>
  <c r="JH10" i="13"/>
  <c r="JH9" i="13"/>
  <c r="JH8" i="13"/>
  <c r="JH7" i="13"/>
  <c r="JN12" i="13"/>
  <c r="JO12" i="13"/>
  <c r="JN11" i="13"/>
  <c r="JO11" i="13"/>
  <c r="KD11" i="13"/>
  <c r="JN10" i="13"/>
  <c r="JO10" i="13"/>
  <c r="KD10" i="13"/>
  <c r="JN9" i="13"/>
  <c r="JO9" i="13"/>
  <c r="KD9" i="13"/>
  <c r="JN8" i="13"/>
  <c r="JO8" i="13"/>
  <c r="KD8" i="13"/>
  <c r="JN7" i="13"/>
  <c r="JO7" i="13"/>
  <c r="KD7" i="13"/>
  <c r="KA7" i="13"/>
  <c r="KA9" i="13"/>
  <c r="KA11" i="13"/>
  <c r="KA10" i="13"/>
  <c r="KB10" i="13"/>
  <c r="KA8" i="13"/>
  <c r="KA12" i="13"/>
  <c r="KD12" i="13"/>
  <c r="KE10" i="13"/>
  <c r="JL8" i="13"/>
  <c r="JJ8" i="13"/>
  <c r="JL12" i="13"/>
  <c r="JJ12" i="13"/>
  <c r="JL10" i="13"/>
  <c r="JJ10" i="13"/>
  <c r="JL9" i="13"/>
  <c r="JJ9" i="13"/>
  <c r="JL11" i="13"/>
  <c r="JJ11" i="13"/>
  <c r="JL7" i="13"/>
  <c r="JJ7" i="13"/>
  <c r="JM7" i="13"/>
  <c r="JK7" i="13"/>
  <c r="JK10" i="13"/>
  <c r="JP7" i="13"/>
  <c r="JP9" i="13"/>
  <c r="JQ7" i="13"/>
  <c r="JQ9" i="13"/>
  <c r="KI16" i="13"/>
  <c r="KI14" i="13"/>
  <c r="KI15" i="13"/>
  <c r="KI13" i="13"/>
  <c r="KH15" i="13"/>
  <c r="KH16" i="13"/>
  <c r="KH13" i="13"/>
  <c r="KH14" i="13"/>
  <c r="JS9" i="13"/>
  <c r="JU9" i="13"/>
  <c r="JT9" i="13"/>
  <c r="JS7" i="13"/>
  <c r="JU7" i="13"/>
  <c r="JT7" i="13"/>
  <c r="JV7" i="13"/>
  <c r="JW7" i="13"/>
  <c r="JW9" i="13"/>
  <c r="JX9" i="13"/>
  <c r="JV9" i="13"/>
  <c r="JX7" i="13"/>
  <c r="JY9" i="13"/>
  <c r="JY7" i="13"/>
  <c r="KF7" i="13"/>
  <c r="KG11" i="13"/>
  <c r="KF12" i="13"/>
  <c r="KG12" i="13"/>
  <c r="KG10" i="13"/>
  <c r="KF11" i="13"/>
  <c r="KG8" i="13"/>
  <c r="KF10" i="13"/>
  <c r="KG7" i="13"/>
  <c r="KF9" i="13"/>
  <c r="KG9" i="13"/>
  <c r="KF8" i="13"/>
  <c r="KI10" i="13"/>
  <c r="KI9" i="13"/>
  <c r="KI12" i="13"/>
  <c r="KI8" i="13"/>
  <c r="KI11" i="13"/>
  <c r="KI7" i="13"/>
  <c r="KH8" i="13"/>
  <c r="KH11" i="13"/>
  <c r="KH12" i="13"/>
  <c r="KH9" i="13"/>
  <c r="KH10" i="13"/>
  <c r="KH7" i="13"/>
  <c r="KN8" i="13"/>
  <c r="KO8" i="13"/>
  <c r="LD8" i="13"/>
  <c r="KN11" i="13"/>
  <c r="KO11" i="13"/>
  <c r="LD11" i="13"/>
  <c r="KN12" i="13"/>
  <c r="KO12" i="13"/>
  <c r="KN9" i="13"/>
  <c r="KO9" i="13"/>
  <c r="LD9" i="13"/>
  <c r="KN10" i="13"/>
  <c r="KO10" i="13"/>
  <c r="LD10" i="13"/>
  <c r="KN7" i="13"/>
  <c r="KO7" i="13"/>
  <c r="LD7" i="13"/>
  <c r="LA10" i="13"/>
  <c r="LA8" i="13"/>
  <c r="LA11" i="13"/>
  <c r="LA7" i="13"/>
  <c r="LB10" i="13"/>
  <c r="LA9" i="13"/>
  <c r="LA12" i="13"/>
  <c r="LD12" i="13"/>
  <c r="LE10" i="13"/>
  <c r="KL10" i="13"/>
  <c r="KJ10" i="13"/>
  <c r="KL12" i="13"/>
  <c r="KJ12" i="13"/>
  <c r="KL8" i="13"/>
  <c r="KJ8" i="13"/>
  <c r="KL9" i="13"/>
  <c r="KJ9" i="13"/>
  <c r="KL11" i="13"/>
  <c r="KJ11" i="13"/>
  <c r="KL7" i="13"/>
  <c r="KJ7" i="13"/>
  <c r="KM7" i="13"/>
  <c r="KK7" i="13"/>
  <c r="KK10" i="13"/>
  <c r="KQ7" i="13"/>
  <c r="KP9" i="13"/>
  <c r="KQ9" i="13"/>
  <c r="KP7" i="13"/>
  <c r="LI14" i="13"/>
  <c r="LI15" i="13"/>
  <c r="LI16" i="13"/>
  <c r="LI13" i="13"/>
  <c r="LH15" i="13"/>
  <c r="LH16" i="13"/>
  <c r="LH13" i="13"/>
  <c r="LH14" i="13"/>
  <c r="KS9" i="13"/>
  <c r="KT9" i="13"/>
  <c r="KU9" i="13"/>
  <c r="KS7" i="13"/>
  <c r="KT7" i="13"/>
  <c r="KU7" i="13"/>
  <c r="KV7" i="13"/>
  <c r="KW7" i="13"/>
  <c r="KV9" i="13"/>
  <c r="KW9" i="13"/>
  <c r="KX9" i="13"/>
  <c r="KX7" i="13"/>
  <c r="KY9" i="13"/>
  <c r="KY7" i="13"/>
  <c r="LF10" i="13"/>
  <c r="LG9" i="13"/>
  <c r="LG10" i="13"/>
  <c r="LF11" i="13"/>
  <c r="LG8" i="13"/>
  <c r="LF12" i="13"/>
  <c r="LF7" i="13"/>
  <c r="LG12" i="13"/>
  <c r="LF8" i="13"/>
  <c r="LG11" i="13"/>
  <c r="LG7" i="13"/>
  <c r="LF9" i="13"/>
  <c r="LI9" i="13"/>
  <c r="LI12" i="13"/>
  <c r="LI8" i="13"/>
  <c r="LI11" i="13"/>
  <c r="LI10" i="13"/>
  <c r="LI7" i="13"/>
  <c r="LH8" i="13"/>
  <c r="LH11" i="13"/>
  <c r="LH12" i="13"/>
  <c r="LH9" i="13"/>
  <c r="LH10" i="13"/>
  <c r="LH7" i="13"/>
  <c r="LN8" i="13"/>
  <c r="LO8" i="13"/>
  <c r="MD8" i="13"/>
  <c r="LN11" i="13"/>
  <c r="LO11" i="13"/>
  <c r="MD11" i="13"/>
  <c r="LN12" i="13"/>
  <c r="LO12" i="13"/>
  <c r="LN9" i="13"/>
  <c r="LO9" i="13"/>
  <c r="MD9" i="13"/>
  <c r="LN10" i="13"/>
  <c r="LO10" i="13"/>
  <c r="MD10" i="13"/>
  <c r="LN7" i="13"/>
  <c r="LO7" i="13"/>
  <c r="MD7" i="13"/>
  <c r="MA9" i="13"/>
  <c r="MA8" i="13"/>
  <c r="MA12" i="13"/>
  <c r="MA7" i="13"/>
  <c r="MA10" i="13"/>
  <c r="MB10" i="13"/>
  <c r="MA11" i="13"/>
  <c r="MD12" i="13"/>
  <c r="ME10" i="13"/>
  <c r="LL9" i="13"/>
  <c r="LJ9" i="13"/>
  <c r="LL11" i="13"/>
  <c r="LJ11" i="13"/>
  <c r="LL10" i="13"/>
  <c r="LJ10" i="13"/>
  <c r="LL12" i="13"/>
  <c r="LJ12" i="13"/>
  <c r="LL8" i="13"/>
  <c r="LJ8" i="13"/>
  <c r="LL7" i="13"/>
  <c r="LJ7" i="13"/>
  <c r="LM7" i="13"/>
  <c r="LK7" i="13"/>
  <c r="LK10" i="13"/>
  <c r="LP7" i="13"/>
  <c r="LP9" i="13"/>
  <c r="LQ7" i="13"/>
  <c r="LQ9" i="13"/>
  <c r="MI15" i="13"/>
  <c r="MI16" i="13"/>
  <c r="MI13" i="13"/>
  <c r="MI14" i="13"/>
  <c r="MH13" i="13"/>
  <c r="MH15" i="13"/>
  <c r="MH16" i="13"/>
  <c r="MH14" i="13"/>
  <c r="LS9" i="13"/>
  <c r="LU9" i="13"/>
  <c r="LT9" i="13"/>
  <c r="LS7" i="13"/>
  <c r="LU7" i="13"/>
  <c r="LT7" i="13"/>
  <c r="LW7" i="13"/>
  <c r="LX9" i="13"/>
  <c r="LX7" i="13"/>
  <c r="LV7" i="13"/>
  <c r="LV9" i="13"/>
  <c r="LW9" i="13"/>
  <c r="LY9" i="13"/>
  <c r="LY7" i="13"/>
  <c r="MG10" i="13"/>
  <c r="MF9" i="13"/>
  <c r="MF10" i="13"/>
  <c r="MG12" i="13"/>
  <c r="MF11" i="13"/>
  <c r="MG9" i="13"/>
  <c r="MG11" i="13"/>
  <c r="MG8" i="13"/>
  <c r="MF7" i="13"/>
  <c r="MG7" i="13"/>
  <c r="MF12" i="13"/>
  <c r="MF8" i="13"/>
  <c r="MI10" i="13"/>
  <c r="MI9" i="13"/>
  <c r="MI12" i="13"/>
  <c r="MI8" i="13"/>
  <c r="MI11" i="13"/>
  <c r="MI7" i="13"/>
  <c r="MH12" i="13"/>
  <c r="MH9" i="13"/>
  <c r="MH10" i="13"/>
  <c r="MH8" i="13"/>
  <c r="MH11" i="13"/>
  <c r="MH7" i="13"/>
  <c r="MN12" i="13"/>
  <c r="MO12" i="13"/>
  <c r="MN9" i="13"/>
  <c r="MO9" i="13"/>
  <c r="ND9" i="13"/>
  <c r="MN10" i="13"/>
  <c r="MO10" i="13"/>
  <c r="ND10" i="13"/>
  <c r="MN8" i="13"/>
  <c r="MO8" i="13"/>
  <c r="ND8" i="13"/>
  <c r="MN11" i="13"/>
  <c r="MO11" i="13"/>
  <c r="ND11" i="13"/>
  <c r="MN7" i="13"/>
  <c r="MO7" i="13"/>
  <c r="ND7" i="13"/>
  <c r="NA7" i="13"/>
  <c r="NA8" i="13"/>
  <c r="NA12" i="13"/>
  <c r="NA9" i="13"/>
  <c r="NA11" i="13"/>
  <c r="NA10" i="13"/>
  <c r="NB10" i="13"/>
  <c r="ND12" i="13"/>
  <c r="NE10" i="13"/>
  <c r="ML11" i="13"/>
  <c r="MJ11" i="13"/>
  <c r="ML10" i="13"/>
  <c r="MJ10" i="13"/>
  <c r="ML12" i="13"/>
  <c r="MJ12" i="13"/>
  <c r="ML8" i="13"/>
  <c r="MJ8" i="13"/>
  <c r="ML9" i="13"/>
  <c r="MJ9" i="13"/>
  <c r="ML7" i="13"/>
  <c r="MJ7" i="13"/>
  <c r="MM7" i="13"/>
  <c r="MK7" i="13"/>
  <c r="MK10" i="13"/>
  <c r="MQ9" i="13"/>
  <c r="MP9" i="13"/>
  <c r="MQ7" i="13"/>
  <c r="MP7" i="13"/>
  <c r="NI14" i="13"/>
  <c r="NI15" i="13"/>
  <c r="NI16" i="13"/>
  <c r="NI13" i="13"/>
  <c r="NH14" i="13"/>
  <c r="NH15" i="13"/>
  <c r="NH16" i="13"/>
  <c r="NH13" i="13"/>
  <c r="MS9" i="13"/>
  <c r="MT9" i="13"/>
  <c r="MU9" i="13"/>
  <c r="MS7" i="13"/>
  <c r="MU7" i="13"/>
  <c r="MT7" i="13"/>
  <c r="MV7" i="13"/>
  <c r="MW7" i="13"/>
  <c r="MX9" i="13"/>
  <c r="MX7" i="13"/>
  <c r="MW9" i="13"/>
  <c r="MV9" i="13"/>
  <c r="MY9" i="13"/>
  <c r="MY7" i="13"/>
  <c r="NF7" i="13"/>
  <c r="NF10" i="13"/>
  <c r="NG12" i="13"/>
  <c r="NG7" i="13"/>
  <c r="NF11" i="13"/>
  <c r="NF12" i="13"/>
  <c r="NG10" i="13"/>
  <c r="NF8" i="13"/>
  <c r="NG9" i="13"/>
  <c r="NF9" i="13"/>
  <c r="NG8" i="13"/>
  <c r="NG11" i="13"/>
  <c r="NI11" i="13"/>
  <c r="NI12" i="13"/>
  <c r="NI8" i="13"/>
  <c r="NI10" i="13"/>
  <c r="NI9" i="13"/>
  <c r="NI7" i="13"/>
  <c r="NH10" i="13"/>
  <c r="NH8" i="13"/>
  <c r="NH11" i="13"/>
  <c r="NH12" i="13"/>
  <c r="NH9" i="13"/>
  <c r="NH7" i="13"/>
  <c r="NN10" i="13"/>
  <c r="NO10" i="13"/>
  <c r="OD10" i="13"/>
  <c r="NN8" i="13"/>
  <c r="NO8" i="13"/>
  <c r="OD8" i="13"/>
  <c r="NN11" i="13"/>
  <c r="NO11" i="13"/>
  <c r="OD11" i="13"/>
  <c r="NN12" i="13"/>
  <c r="NO12" i="13"/>
  <c r="NN9" i="13"/>
  <c r="NO9" i="13"/>
  <c r="OD9" i="13"/>
  <c r="NN7" i="13"/>
  <c r="NO7" i="13"/>
  <c r="OD7" i="13"/>
  <c r="OB10" i="13"/>
  <c r="OA9" i="13"/>
  <c r="OA12" i="13"/>
  <c r="OA11" i="13"/>
  <c r="OA10" i="13"/>
  <c r="OA8" i="13"/>
  <c r="OA7" i="13"/>
  <c r="OD12" i="13"/>
  <c r="OE10" i="13"/>
  <c r="NL9" i="13"/>
  <c r="NJ9" i="13"/>
  <c r="NL11" i="13"/>
  <c r="NJ11" i="13"/>
  <c r="NL10" i="13"/>
  <c r="NJ10" i="13"/>
  <c r="NL12" i="13"/>
  <c r="NJ12" i="13"/>
  <c r="NL8" i="13"/>
  <c r="NJ8" i="13"/>
  <c r="NL7" i="13"/>
  <c r="NJ7" i="13"/>
  <c r="NM7" i="13"/>
  <c r="NK7" i="13"/>
  <c r="NK10" i="13"/>
  <c r="NQ9" i="13"/>
  <c r="NQ7" i="13"/>
  <c r="NP7" i="13"/>
  <c r="NP9" i="13"/>
  <c r="OI15" i="13"/>
  <c r="OI16" i="13"/>
  <c r="OI13" i="13"/>
  <c r="OI14" i="13"/>
  <c r="OH15" i="13"/>
  <c r="OH16" i="13"/>
  <c r="OH13" i="13"/>
  <c r="OH14" i="13"/>
  <c r="NS9" i="13"/>
  <c r="NT9" i="13"/>
  <c r="NU9" i="13"/>
  <c r="NS7" i="13"/>
  <c r="NU7" i="13"/>
  <c r="NT7" i="13"/>
  <c r="NW9" i="13"/>
  <c r="NX7" i="13"/>
  <c r="NX9" i="13"/>
  <c r="NV7" i="13"/>
  <c r="NW7" i="13"/>
  <c r="NV9" i="13"/>
  <c r="NY9" i="13"/>
  <c r="NY7" i="13"/>
  <c r="OG9" i="13"/>
  <c r="OG8" i="13"/>
  <c r="OF10" i="13"/>
  <c r="OG12" i="13"/>
  <c r="OG7" i="13"/>
  <c r="OF11" i="13"/>
  <c r="OG11" i="13"/>
  <c r="OF7" i="13"/>
  <c r="OF9" i="13"/>
  <c r="OG10" i="13"/>
  <c r="OF8" i="13"/>
  <c r="OF12" i="13"/>
  <c r="OI11" i="13"/>
  <c r="OI10" i="13"/>
  <c r="OI12" i="13"/>
  <c r="OI9" i="13"/>
  <c r="OI8" i="13"/>
  <c r="OI7" i="13"/>
  <c r="OH8" i="13"/>
  <c r="OH11" i="13"/>
  <c r="OH12" i="13"/>
  <c r="OH10" i="13"/>
  <c r="OH9" i="13"/>
  <c r="OH7" i="13"/>
  <c r="ON8" i="13"/>
  <c r="OO8" i="13"/>
  <c r="PD8" i="13"/>
  <c r="ON11" i="13"/>
  <c r="OO11" i="13"/>
  <c r="PD11" i="13"/>
  <c r="ON12" i="13"/>
  <c r="OO12" i="13"/>
  <c r="ON10" i="13"/>
  <c r="OO10" i="13"/>
  <c r="PD10" i="13"/>
  <c r="ON9" i="13"/>
  <c r="OO9" i="13"/>
  <c r="PD9" i="13"/>
  <c r="ON7" i="13"/>
  <c r="OO7" i="13"/>
  <c r="PD7" i="13"/>
  <c r="PA10" i="13"/>
  <c r="PA8" i="13"/>
  <c r="PA11" i="13"/>
  <c r="PA12" i="13"/>
  <c r="PB10" i="13"/>
  <c r="PA9" i="13"/>
  <c r="PA7" i="13"/>
  <c r="PD12" i="13"/>
  <c r="PE10" i="13"/>
  <c r="OL9" i="13"/>
  <c r="OJ9" i="13"/>
  <c r="OL12" i="13"/>
  <c r="OJ12" i="13"/>
  <c r="OL8" i="13"/>
  <c r="OJ8" i="13"/>
  <c r="OL10" i="13"/>
  <c r="OJ10" i="13"/>
  <c r="OL11" i="13"/>
  <c r="OJ11" i="13"/>
  <c r="OL7" i="13"/>
  <c r="OJ7" i="13"/>
  <c r="OK7" i="13"/>
  <c r="OK10" i="13"/>
  <c r="OM7" i="13"/>
  <c r="OP9" i="13"/>
  <c r="OQ7" i="13"/>
  <c r="OQ9" i="13"/>
  <c r="OP7" i="13"/>
  <c r="PI14" i="13"/>
  <c r="PI15" i="13"/>
  <c r="PI16" i="13"/>
  <c r="PI13" i="13"/>
  <c r="PH16" i="13"/>
  <c r="PH13" i="13"/>
  <c r="PH15" i="13"/>
  <c r="PH14" i="13"/>
  <c r="OS9" i="13"/>
  <c r="OU9" i="13"/>
  <c r="OT9" i="13"/>
  <c r="OS7" i="13"/>
  <c r="OT7" i="13"/>
  <c r="OU7" i="13"/>
  <c r="OV9" i="13"/>
  <c r="OX9" i="13"/>
  <c r="OW9" i="13"/>
  <c r="OV7" i="13"/>
  <c r="OX7" i="13"/>
  <c r="OW7" i="13"/>
  <c r="OY9" i="13"/>
  <c r="OY7" i="13"/>
  <c r="PF8" i="13"/>
  <c r="PG9" i="13"/>
  <c r="PG10" i="13"/>
  <c r="PG7" i="13"/>
  <c r="PF10" i="13"/>
  <c r="PF9" i="13"/>
  <c r="PF7" i="13"/>
  <c r="PG11" i="13"/>
  <c r="PG12" i="13"/>
  <c r="PF11" i="13"/>
  <c r="PF12" i="13"/>
  <c r="PG8" i="13"/>
  <c r="PI12" i="13"/>
  <c r="PI11" i="13"/>
  <c r="PI10" i="13"/>
  <c r="PI9" i="13"/>
  <c r="PI8" i="13"/>
  <c r="PI7" i="13"/>
  <c r="PH8" i="13"/>
  <c r="PH11" i="13"/>
  <c r="PH12" i="13"/>
  <c r="PH10" i="13"/>
  <c r="PH9" i="13"/>
  <c r="PH7" i="13"/>
  <c r="PN8" i="13"/>
  <c r="PO8" i="13"/>
  <c r="QD8" i="13"/>
  <c r="PN11" i="13"/>
  <c r="PO11" i="13"/>
  <c r="QD11" i="13"/>
  <c r="PN12" i="13"/>
  <c r="PO12" i="13"/>
  <c r="PN10" i="13"/>
  <c r="PO10" i="13"/>
  <c r="QD10" i="13"/>
  <c r="PN9" i="13"/>
  <c r="PO9" i="13"/>
  <c r="QD9" i="13"/>
  <c r="PN7" i="13"/>
  <c r="PO7" i="13"/>
  <c r="QD7" i="13"/>
  <c r="QA12" i="13"/>
  <c r="QA10" i="13"/>
  <c r="QB10" i="13"/>
  <c r="QA9" i="13"/>
  <c r="QA11" i="13"/>
  <c r="QA7" i="13"/>
  <c r="QA8" i="13"/>
  <c r="QD12" i="13"/>
  <c r="QE10" i="13"/>
  <c r="PL9" i="13"/>
  <c r="PJ9" i="13"/>
  <c r="PL12" i="13"/>
  <c r="PJ12" i="13"/>
  <c r="PL8" i="13"/>
  <c r="PJ8" i="13"/>
  <c r="PL10" i="13"/>
  <c r="PJ10" i="13"/>
  <c r="PL11" i="13"/>
  <c r="PJ11" i="13"/>
  <c r="PL7" i="13"/>
  <c r="PJ7" i="13"/>
  <c r="PK7" i="13"/>
  <c r="PK10" i="13"/>
  <c r="PM7" i="13"/>
  <c r="PP7" i="13"/>
  <c r="PQ7" i="13"/>
  <c r="PQ9" i="13"/>
  <c r="PP9" i="13"/>
  <c r="QI15" i="13"/>
  <c r="QI16" i="13"/>
  <c r="QI13" i="13"/>
  <c r="QI14" i="13"/>
  <c r="QH16" i="13"/>
  <c r="QH14" i="13"/>
  <c r="QH15" i="13"/>
  <c r="QH13" i="13"/>
  <c r="PS9" i="13"/>
  <c r="PT9" i="13"/>
  <c r="PU9" i="13"/>
  <c r="PS7" i="13"/>
  <c r="PT7" i="13"/>
  <c r="PU7" i="13"/>
  <c r="PW7" i="13"/>
  <c r="PV9" i="13"/>
  <c r="PV7" i="13"/>
  <c r="PX7" i="13"/>
  <c r="PW9" i="13"/>
  <c r="PX9" i="13"/>
  <c r="PY9" i="13"/>
  <c r="PY7" i="13"/>
  <c r="QG11" i="13"/>
  <c r="QF9" i="13"/>
  <c r="QF12" i="13"/>
  <c r="QG10" i="13"/>
  <c r="QF8" i="13"/>
  <c r="QG7" i="13"/>
  <c r="QG12" i="13"/>
  <c r="QF10" i="13"/>
  <c r="QG9" i="13"/>
  <c r="QF7" i="13"/>
  <c r="QG8" i="13"/>
  <c r="QF11" i="13"/>
  <c r="QI11" i="13"/>
  <c r="QI10" i="13"/>
  <c r="QI9" i="13"/>
  <c r="QI12" i="13"/>
  <c r="QI8" i="13"/>
  <c r="QI7" i="13"/>
  <c r="QH8" i="13"/>
  <c r="QH11" i="13"/>
  <c r="QH12" i="13"/>
  <c r="QH10" i="13"/>
  <c r="QH9" i="13"/>
  <c r="QH7" i="13"/>
  <c r="QN8" i="13"/>
  <c r="QO8" i="13"/>
  <c r="QN11" i="13"/>
  <c r="QO11" i="13"/>
  <c r="QN12" i="13"/>
  <c r="QO12" i="13"/>
  <c r="QN10" i="13"/>
  <c r="QO10" i="13"/>
  <c r="QN9" i="13"/>
  <c r="QO9" i="13"/>
  <c r="QN7" i="13"/>
  <c r="QO7" i="13"/>
  <c r="QL9" i="13"/>
  <c r="QJ9" i="13"/>
  <c r="QL12" i="13"/>
  <c r="QJ12" i="13"/>
  <c r="QL8" i="13"/>
  <c r="QJ8" i="13"/>
  <c r="QL10" i="13"/>
  <c r="QJ10" i="13"/>
  <c r="QL11" i="13"/>
  <c r="QJ11" i="13"/>
  <c r="QL7" i="13"/>
  <c r="QJ7" i="13"/>
  <c r="QK7" i="13"/>
  <c r="QK10" i="13"/>
  <c r="QM7" i="13"/>
</calcChain>
</file>

<file path=xl/sharedStrings.xml><?xml version="1.0" encoding="utf-8"?>
<sst xmlns="http://schemas.openxmlformats.org/spreadsheetml/2006/main" count="1972" uniqueCount="299">
  <si>
    <t>Given (User Defined)</t>
  </si>
  <si>
    <t>Calculated (Ideal)</t>
  </si>
  <si>
    <t>Calculated (Non-ideal using Wilson's)</t>
  </si>
  <si>
    <t>Feed Parameter</t>
  </si>
  <si>
    <t>Value</t>
  </si>
  <si>
    <t>Units</t>
  </si>
  <si>
    <t>Parameter</t>
  </si>
  <si>
    <t>Feed FR</t>
  </si>
  <si>
    <t>mol/s</t>
  </si>
  <si>
    <t>Outlet vapour FR (V)</t>
  </si>
  <si>
    <t>mol/hr</t>
  </si>
  <si>
    <t>Operating Temp.</t>
  </si>
  <si>
    <t>K</t>
  </si>
  <si>
    <t>Additional Component Parameters</t>
  </si>
  <si>
    <t>Outlet liquid FR (L)</t>
  </si>
  <si>
    <t>Pressure tank</t>
  </si>
  <si>
    <t>kPa</t>
  </si>
  <si>
    <t>p_i*(Perrys) [kPa]</t>
  </si>
  <si>
    <t>p_i*(Antoines) [kPa]</t>
  </si>
  <si>
    <t>K_i (Antoines)</t>
  </si>
  <si>
    <t>K_i(Wilson)</t>
  </si>
  <si>
    <t>Psi(V/F)</t>
  </si>
  <si>
    <t>RRE(Ideal)</t>
  </si>
  <si>
    <t>RRE(Non-Ideal)</t>
  </si>
  <si>
    <t>Z_i*p_i*</t>
  </si>
  <si>
    <t>Z_i/p_i*</t>
  </si>
  <si>
    <t>x_ethane</t>
  </si>
  <si>
    <t>-</t>
  </si>
  <si>
    <t xml:space="preserve">MF Ethane </t>
  </si>
  <si>
    <t>Ideal</t>
  </si>
  <si>
    <t>x_pentane</t>
  </si>
  <si>
    <t>MF Pentane</t>
  </si>
  <si>
    <t>x_hexane</t>
  </si>
  <si>
    <t>MF Hexane</t>
  </si>
  <si>
    <t>x_cyclo</t>
  </si>
  <si>
    <t>MF Cyclohexane</t>
  </si>
  <si>
    <t>Non-Ideal</t>
  </si>
  <si>
    <t>x_water</t>
  </si>
  <si>
    <t>MF Water</t>
  </si>
  <si>
    <t>x_nitrogen</t>
  </si>
  <si>
    <t>MF Nitrogen (NC)</t>
  </si>
  <si>
    <t>y_ethane</t>
  </si>
  <si>
    <t>Tank Temp.</t>
  </si>
  <si>
    <t>y_pentane</t>
  </si>
  <si>
    <t>Tank Press.</t>
  </si>
  <si>
    <t>*Ideal</t>
  </si>
  <si>
    <t>*Non-ideal</t>
  </si>
  <si>
    <t>*(V/F)</t>
  </si>
  <si>
    <t>Use solver if Op. Cond. Change</t>
  </si>
  <si>
    <t>y_hexane</t>
  </si>
  <si>
    <t>y_cyclo</t>
  </si>
  <si>
    <t>y_water</t>
  </si>
  <si>
    <t>VP=EXP[C1 + (C2/T) + C3*ln(T) + C4*T^C5</t>
  </si>
  <si>
    <t>Ln(Psat[bar]) = A-(B/(T[K] + C))</t>
  </si>
  <si>
    <t>y_nitrogen</t>
  </si>
  <si>
    <t xml:space="preserve">Vapour Pressure Constants </t>
  </si>
  <si>
    <t>Antoine Constants</t>
  </si>
  <si>
    <t>Bubble-point pressure (P_bp)</t>
  </si>
  <si>
    <t>[kPa]</t>
  </si>
  <si>
    <t>Species</t>
  </si>
  <si>
    <t>C1</t>
  </si>
  <si>
    <t>C2</t>
  </si>
  <si>
    <t>C3</t>
  </si>
  <si>
    <t>C4</t>
  </si>
  <si>
    <t>C5</t>
  </si>
  <si>
    <t>A</t>
  </si>
  <si>
    <t>B</t>
  </si>
  <si>
    <t>C</t>
  </si>
  <si>
    <t>Dew-point pressure (P_dp)</t>
  </si>
  <si>
    <t>Ethane</t>
  </si>
  <si>
    <t>Pentane</t>
  </si>
  <si>
    <t>Hexane</t>
  </si>
  <si>
    <t>Cyclohexane</t>
  </si>
  <si>
    <t>H2O</t>
  </si>
  <si>
    <t>N2</t>
  </si>
  <si>
    <t>Temperatures in [K] and Vapour pressures in [Pa]</t>
  </si>
  <si>
    <t>Temp. in [K] and Psat in [bar]</t>
  </si>
  <si>
    <t>Perry's Chemical Engineers' Handbook 7e</t>
  </si>
  <si>
    <t>Engineering and Chemical Thermodynamics (Milo D. Koretsky)</t>
  </si>
  <si>
    <t>Additional Paramaters for Species</t>
  </si>
  <si>
    <t>T_c (K)</t>
  </si>
  <si>
    <t>P_c (kPa)</t>
  </si>
  <si>
    <t>Z_c</t>
  </si>
  <si>
    <t>w_i (Acentric factor)</t>
  </si>
  <si>
    <t>MW (g/mol)</t>
  </si>
  <si>
    <t>Retrieved from Perry's Chemical Engineers' Handbook 7e</t>
  </si>
  <si>
    <t>CASE 1</t>
  </si>
  <si>
    <t>K_i(wilson)</t>
  </si>
  <si>
    <t>psi(V/F)</t>
  </si>
  <si>
    <t>RRE</t>
  </si>
  <si>
    <t>x_i</t>
  </si>
  <si>
    <t>y_i</t>
  </si>
  <si>
    <t>L</t>
  </si>
  <si>
    <t>V</t>
  </si>
  <si>
    <t>FIRST STEP IN BP-DP CALCULATIOM</t>
  </si>
  <si>
    <t>CHECK (must Equal 1)</t>
  </si>
  <si>
    <t>Feed Temperature</t>
  </si>
  <si>
    <t>Tank Pressure</t>
  </si>
  <si>
    <t>Tr</t>
  </si>
  <si>
    <t>Initial dp guess</t>
  </si>
  <si>
    <t>Initial bp guess</t>
  </si>
  <si>
    <t>dp_K_i</t>
  </si>
  <si>
    <t>bp_K_i</t>
  </si>
  <si>
    <t>dp_(z_i/K_i)</t>
  </si>
  <si>
    <t>bp_(z_i/K_i)</t>
  </si>
  <si>
    <t>Dew-point</t>
  </si>
  <si>
    <t>Bubble-point</t>
  </si>
  <si>
    <t>.</t>
  </si>
  <si>
    <t>CASE 1 - NON-IDEAL</t>
  </si>
  <si>
    <t>2ND ITERATION</t>
  </si>
  <si>
    <t>K_ij</t>
  </si>
  <si>
    <t>1ST ITERATION</t>
  </si>
  <si>
    <t>3RD ITERATION</t>
  </si>
  <si>
    <t>4TH ITERATION</t>
  </si>
  <si>
    <t>5TH ITERATION</t>
  </si>
  <si>
    <t>6TH ITERATION</t>
  </si>
  <si>
    <t>7TH ITERATION</t>
  </si>
  <si>
    <t>8TH ITERATION [FINAL]</t>
  </si>
  <si>
    <t>is Z &gt; B</t>
  </si>
  <si>
    <t>PHI_L</t>
  </si>
  <si>
    <t>PHI_V</t>
  </si>
  <si>
    <t>Liq</t>
  </si>
  <si>
    <t>Liquid</t>
  </si>
  <si>
    <t>Convergence Check</t>
  </si>
  <si>
    <t>Components</t>
  </si>
  <si>
    <t>T_r</t>
  </si>
  <si>
    <t>p_i*</t>
  </si>
  <si>
    <t>K_i (Wilson)</t>
  </si>
  <si>
    <t>(V/F)</t>
  </si>
  <si>
    <t>Kappa_i</t>
  </si>
  <si>
    <t>alpha_i</t>
  </si>
  <si>
    <t>a_i</t>
  </si>
  <si>
    <t>b_i</t>
  </si>
  <si>
    <t>A_L</t>
  </si>
  <si>
    <t>B_L</t>
  </si>
  <si>
    <t>A_V</t>
  </si>
  <si>
    <t>B_V</t>
  </si>
  <si>
    <t>coeff_A</t>
  </si>
  <si>
    <t>coeff_B</t>
  </si>
  <si>
    <t>coeff_C</t>
  </si>
  <si>
    <t>coeff_D</t>
  </si>
  <si>
    <t>Z1</t>
  </si>
  <si>
    <t>Z2</t>
  </si>
  <si>
    <t>Z3</t>
  </si>
  <si>
    <t>Z^L</t>
  </si>
  <si>
    <t>psi_i</t>
  </si>
  <si>
    <t>psi (L)</t>
  </si>
  <si>
    <t>Xi*bi</t>
  </si>
  <si>
    <t>Yi*bi</t>
  </si>
  <si>
    <t>b_m (L)</t>
  </si>
  <si>
    <r>
      <t>phi^L_i [</t>
    </r>
    <r>
      <rPr>
        <b/>
        <sz val="12"/>
        <color theme="1"/>
        <rFont val="Calibri"/>
        <family val="2"/>
      </rPr>
      <t>Φ</t>
    </r>
    <r>
      <rPr>
        <b/>
        <sz val="10.199999999999999"/>
        <color theme="1"/>
        <rFont val="Calibri"/>
        <family val="2"/>
      </rPr>
      <t>^L</t>
    </r>
    <r>
      <rPr>
        <b/>
        <sz val="12"/>
        <color theme="1"/>
        <rFont val="Calibri"/>
        <family val="2"/>
        <scheme val="minor"/>
      </rPr>
      <t>]</t>
    </r>
  </si>
  <si>
    <t>phi^V_i [Φ^V]</t>
  </si>
  <si>
    <t>K_i</t>
  </si>
  <si>
    <t>K_i(1)</t>
  </si>
  <si>
    <t>Psi (V/F)</t>
  </si>
  <si>
    <t>x_i (1)</t>
  </si>
  <si>
    <t>y_i (1)</t>
  </si>
  <si>
    <t>f_iL</t>
  </si>
  <si>
    <t>f_iV</t>
  </si>
  <si>
    <t>Error</t>
  </si>
  <si>
    <t>Sum of Error ( &lt;= 10e-10)</t>
  </si>
  <si>
    <t>K_i(5)</t>
  </si>
  <si>
    <t>x_i (5)</t>
  </si>
  <si>
    <t>y_i (5)</t>
  </si>
  <si>
    <t>K_i(6)</t>
  </si>
  <si>
    <t>x_i (6)</t>
  </si>
  <si>
    <t>y_i (6)</t>
  </si>
  <si>
    <t>K_i(7)</t>
  </si>
  <si>
    <t>x_i (7)</t>
  </si>
  <si>
    <t>y_i (7)</t>
  </si>
  <si>
    <t>K_i(8)</t>
  </si>
  <si>
    <t>x_i (8)</t>
  </si>
  <si>
    <t>y_i (8)</t>
  </si>
  <si>
    <t>Vap</t>
  </si>
  <si>
    <t>Summary of CASE 1 Results</t>
  </si>
  <si>
    <t>Z^V</t>
  </si>
  <si>
    <t>psi (V)</t>
  </si>
  <si>
    <t>b_m(V)</t>
  </si>
  <si>
    <t>CHECK</t>
  </si>
  <si>
    <t>Outlet Streams</t>
  </si>
  <si>
    <t>Vapour Stream</t>
  </si>
  <si>
    <t>Liquid Stream</t>
  </si>
  <si>
    <t>V Flow Rate</t>
  </si>
  <si>
    <t>[mol/h]</t>
  </si>
  <si>
    <t>L Flow Rate</t>
  </si>
  <si>
    <t>[-]</t>
  </si>
  <si>
    <t>Remaining Parameters</t>
  </si>
  <si>
    <t>Convergence Error</t>
  </si>
  <si>
    <t>Heat required</t>
  </si>
  <si>
    <t>kJ</t>
  </si>
  <si>
    <t>BUBBLE-POINT PRESSURE ITERATIVE PROCEDURE</t>
  </si>
  <si>
    <t>k_ij</t>
  </si>
  <si>
    <t>FIXED</t>
  </si>
  <si>
    <t>y_iVal2</t>
  </si>
  <si>
    <t>PR-EOS Parameters (16.4.4)</t>
  </si>
  <si>
    <t>X_i</t>
  </si>
  <si>
    <t>Initial bP</t>
  </si>
  <si>
    <t>Y_i</t>
  </si>
  <si>
    <t>f^L_i</t>
  </si>
  <si>
    <t>f^V_i</t>
  </si>
  <si>
    <t>Sum Error</t>
  </si>
  <si>
    <t>press.Ratio</t>
  </si>
  <si>
    <t>P_update</t>
  </si>
  <si>
    <t>K_i (new)</t>
  </si>
  <si>
    <t>Y_i (new)</t>
  </si>
  <si>
    <t>psi_(V)</t>
  </si>
  <si>
    <t>b_m (V)</t>
  </si>
  <si>
    <t>Check</t>
  </si>
  <si>
    <t>DEW-POINT PRESSURE ITERATIVE PROCEDURE</t>
  </si>
  <si>
    <t>x_iVal3</t>
  </si>
  <si>
    <t>Initial dP</t>
  </si>
  <si>
    <t>X_i (new)</t>
  </si>
  <si>
    <t xml:space="preserve">  </t>
  </si>
  <si>
    <t>kJ/(mol-K)</t>
  </si>
  <si>
    <t>Feed Temp.</t>
  </si>
  <si>
    <t>Liquid Phase</t>
  </si>
  <si>
    <t>Gas Phase</t>
  </si>
  <si>
    <t>a (10^3)</t>
  </si>
  <si>
    <t>b (10^5)</t>
  </si>
  <si>
    <t>c (10^8)</t>
  </si>
  <si>
    <t>d (10^12)</t>
  </si>
  <si>
    <t>Cp_L</t>
  </si>
  <si>
    <t>Cp_V</t>
  </si>
  <si>
    <t>z_i*Cp_L</t>
  </si>
  <si>
    <t>x_i*Cp_L</t>
  </si>
  <si>
    <t>y_i*Cp_V</t>
  </si>
  <si>
    <t>Cp_F(mix)</t>
  </si>
  <si>
    <t>Cp_L(mix)</t>
  </si>
  <si>
    <t>Cp_V(mix)</t>
  </si>
  <si>
    <t>delta_T (Feed)</t>
  </si>
  <si>
    <t>delta_T (Tank)</t>
  </si>
  <si>
    <t>h_F</t>
  </si>
  <si>
    <t>h_L</t>
  </si>
  <si>
    <t>H_V</t>
  </si>
  <si>
    <t>Q [kJ]</t>
  </si>
  <si>
    <t xml:space="preserve"> </t>
  </si>
  <si>
    <t>Vessel T</t>
  </si>
  <si>
    <t>Enth Balance</t>
  </si>
  <si>
    <t>Feed T</t>
  </si>
  <si>
    <t>CH3</t>
  </si>
  <si>
    <t>CH2</t>
  </si>
  <si>
    <t>CH</t>
  </si>
  <si>
    <t>CH4</t>
  </si>
  <si>
    <t>C2H6</t>
  </si>
  <si>
    <t>CH_aro</t>
  </si>
  <si>
    <t>C_aro</t>
  </si>
  <si>
    <t>C_fusedaromatic</t>
  </si>
  <si>
    <t>CH2_cyclic</t>
  </si>
  <si>
    <t>CH/C_cyclic</t>
  </si>
  <si>
    <t>CO2</t>
  </si>
  <si>
    <t>H2S</t>
  </si>
  <si>
    <t>SH</t>
  </si>
  <si>
    <t>C2H4</t>
  </si>
  <si>
    <t>CH2_alkenic</t>
  </si>
  <si>
    <t>C_alkenic</t>
  </si>
  <si>
    <t>CH_cycloalkenic</t>
  </si>
  <si>
    <t>H2</t>
  </si>
  <si>
    <t>CO</t>
  </si>
  <si>
    <t>He</t>
  </si>
  <si>
    <t>Ar</t>
  </si>
  <si>
    <t>Number of Groups</t>
  </si>
  <si>
    <t>Alpha 1</t>
  </si>
  <si>
    <t>Alpha 2</t>
  </si>
  <si>
    <t>Alpha 3</t>
  </si>
  <si>
    <t>Alpha 4</t>
  </si>
  <si>
    <t>Alpha 5</t>
  </si>
  <si>
    <t>Alpha 6</t>
  </si>
  <si>
    <t>Alpha 7</t>
  </si>
  <si>
    <t>Alpha 8</t>
  </si>
  <si>
    <t>Alpha 9</t>
  </si>
  <si>
    <t>Alpha 10</t>
  </si>
  <si>
    <t>Alpha 11</t>
  </si>
  <si>
    <t>Alpha 12</t>
  </si>
  <si>
    <t>Alpha 13</t>
  </si>
  <si>
    <t>Alpha 14</t>
  </si>
  <si>
    <t>Alpha 15</t>
  </si>
  <si>
    <t>Alpha 16</t>
  </si>
  <si>
    <t>Alpha 17</t>
  </si>
  <si>
    <t>Alpha 18</t>
  </si>
  <si>
    <t>Alpha 19</t>
  </si>
  <si>
    <t>Alpha 20</t>
  </si>
  <si>
    <t>Alpha 21</t>
  </si>
  <si>
    <t>Alpha 22</t>
  </si>
  <si>
    <t>Alpha 23</t>
  </si>
  <si>
    <t>Alpha 24</t>
  </si>
  <si>
    <t>Water</t>
  </si>
  <si>
    <t>Nitrogen</t>
  </si>
  <si>
    <t>`</t>
  </si>
  <si>
    <t>Binary Interaction Coefficents Table</t>
  </si>
  <si>
    <t>A Values</t>
  </si>
  <si>
    <t>B Values</t>
  </si>
  <si>
    <t>Water Constants</t>
  </si>
  <si>
    <t>Hajiw et. al</t>
  </si>
  <si>
    <t>D</t>
  </si>
  <si>
    <t>E</t>
  </si>
  <si>
    <t>Ck,H2O (Pa K^-2)/10^3</t>
  </si>
  <si>
    <t>Dk,H2O/10^6 PaK-1</t>
  </si>
  <si>
    <t>Ek,H2O/10^9</t>
  </si>
  <si>
    <t xml:space="preserve">Vary this with Solver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</si>
</sst>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
  </numFmts>
  <fonts count="16">
    <font>
      <sz val="12"/>
      <color theme="1"/>
      <name val="Calibri"/>
      <family val="2"/>
      <scheme val="minor"/>
    </font>
    <font>
      <b/>
      <sz val="12"/>
      <color theme="1"/>
      <name val="Calibri"/>
      <family val="2"/>
      <scheme val="minor"/>
    </font>
    <font>
      <b/>
      <u/>
      <sz val="12"/>
      <color theme="1"/>
      <name val="Calibri"/>
      <family val="2"/>
      <scheme val="minor"/>
    </font>
    <font>
      <u/>
      <sz val="12"/>
      <color theme="10"/>
      <name val="Calibri"/>
      <family val="2"/>
      <scheme val="minor"/>
    </font>
    <font>
      <u/>
      <sz val="12"/>
      <color theme="11"/>
      <name val="Calibri"/>
      <family val="2"/>
      <scheme val="minor"/>
    </font>
    <font>
      <b/>
      <u/>
      <sz val="12"/>
      <color theme="1"/>
      <name val="Calibri (Body)"/>
    </font>
    <font>
      <u/>
      <sz val="12"/>
      <color theme="1"/>
      <name val="Calibri"/>
      <family val="2"/>
      <scheme val="minor"/>
    </font>
    <font>
      <b/>
      <u/>
      <sz val="12"/>
      <color rgb="FF000000"/>
      <name val="Calibri (Body)"/>
    </font>
    <font>
      <b/>
      <sz val="12"/>
      <color rgb="FF000000"/>
      <name val="Calibri"/>
      <family val="2"/>
      <scheme val="minor"/>
    </font>
    <font>
      <sz val="12"/>
      <color rgb="FF000000"/>
      <name val="Calibri"/>
      <family val="2"/>
      <scheme val="minor"/>
    </font>
    <font>
      <u/>
      <sz val="11"/>
      <color theme="1"/>
      <name val="Calibri"/>
      <family val="2"/>
      <scheme val="minor"/>
    </font>
    <font>
      <b/>
      <sz val="12"/>
      <color indexed="206"/>
      <name val="Calibri"/>
      <family val="2"/>
    </font>
    <font>
      <b/>
      <sz val="12"/>
      <color theme="1"/>
      <name val="Calibri"/>
      <family val="2"/>
    </font>
    <font>
      <sz val="12"/>
      <name val="Calibri"/>
      <family val="2"/>
    </font>
    <font>
      <b/>
      <sz val="10.199999999999999"/>
      <color theme="1"/>
      <name val="Calibri"/>
      <family val="2"/>
    </font>
    <font>
      <b/>
      <u/>
      <sz val="12"/>
      <name val="Calibri"/>
      <family val="2"/>
      <scheme val="minor"/>
    </font>
  </fonts>
  <fills count="24">
    <fill>
      <patternFill patternType="none"/>
    </fill>
    <fill>
      <patternFill patternType="gray125"/>
    </fill>
    <fill>
      <patternFill patternType="solid">
        <fgColor theme="4" tint="0.39997558519241921"/>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0000"/>
        <bgColor indexed="64"/>
      </patternFill>
    </fill>
    <fill>
      <patternFill patternType="solid">
        <fgColor rgb="FFFFF2CC"/>
        <bgColor rgb="FF000000"/>
      </patternFill>
    </fill>
    <fill>
      <patternFill patternType="solid">
        <fgColor rgb="FFD9D9D9"/>
        <bgColor rgb="FF000000"/>
      </patternFill>
    </fill>
    <fill>
      <patternFill patternType="solid">
        <fgColor theme="3" tint="0.59999389629810485"/>
        <bgColor indexed="64"/>
      </patternFill>
    </fill>
    <fill>
      <patternFill patternType="solid">
        <fgColor theme="9" tint="0.59999389629810485"/>
        <bgColor rgb="FF000000"/>
      </patternFill>
    </fill>
    <fill>
      <patternFill patternType="solid">
        <fgColor theme="8" tint="0.39997558519241921"/>
        <bgColor indexed="64"/>
      </patternFill>
    </fill>
    <fill>
      <patternFill patternType="solid">
        <fgColor theme="0" tint="-4.9989318521683403E-2"/>
        <bgColor indexed="64"/>
      </patternFill>
    </fill>
    <fill>
      <patternFill patternType="solid">
        <fgColor theme="2" tint="-0.249977111117893"/>
        <bgColor indexed="64"/>
      </patternFill>
    </fill>
    <fill>
      <patternFill patternType="solid">
        <fgColor rgb="FF99FF66"/>
        <bgColor indexed="64"/>
      </patternFill>
    </fill>
    <fill>
      <patternFill patternType="solid">
        <fgColor rgb="FFCC0000"/>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FFFF00"/>
        <bgColor indexed="64"/>
      </patternFill>
    </fill>
  </fills>
  <borders count="30">
    <border>
      <left/>
      <right/>
      <top/>
      <bottom/>
      <diagonal/>
    </border>
    <border>
      <left style="dotted">
        <color auto="1"/>
      </left>
      <right style="dotted">
        <color auto="1"/>
      </right>
      <top style="dotted">
        <color auto="1"/>
      </top>
      <bottom style="dotted">
        <color auto="1"/>
      </bottom>
      <diagonal/>
    </border>
    <border>
      <left style="dotted">
        <color auto="1"/>
      </left>
      <right/>
      <top/>
      <bottom/>
      <diagonal/>
    </border>
    <border>
      <left/>
      <right/>
      <top style="thick">
        <color auto="1"/>
      </top>
      <bottom style="double">
        <color auto="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right/>
      <top/>
      <bottom style="thick">
        <color auto="1"/>
      </bottom>
      <diagonal/>
    </border>
    <border>
      <left style="dotted">
        <color auto="1"/>
      </left>
      <right style="dotted">
        <color auto="1"/>
      </right>
      <top style="thick">
        <color auto="1"/>
      </top>
      <bottom style="dotted">
        <color auto="1"/>
      </bottom>
      <diagonal/>
    </border>
    <border>
      <left style="dotted">
        <color auto="1"/>
      </left>
      <right/>
      <top style="thick">
        <color auto="1"/>
      </top>
      <bottom style="dotted">
        <color auto="1"/>
      </bottom>
      <diagonal/>
    </border>
    <border>
      <left/>
      <right/>
      <top style="thick">
        <color auto="1"/>
      </top>
      <bottom style="dotted">
        <color auto="1"/>
      </bottom>
      <diagonal/>
    </border>
    <border>
      <left/>
      <right style="thick">
        <color auto="1"/>
      </right>
      <top style="thick">
        <color auto="1"/>
      </top>
      <bottom style="dotted">
        <color auto="1"/>
      </bottom>
      <diagonal/>
    </border>
    <border>
      <left style="dotted">
        <color auto="1"/>
      </left>
      <right style="thick">
        <color auto="1"/>
      </right>
      <top style="dotted">
        <color auto="1"/>
      </top>
      <bottom style="dotted">
        <color auto="1"/>
      </bottom>
      <diagonal/>
    </border>
    <border>
      <left/>
      <right style="thick">
        <color auto="1"/>
      </right>
      <top style="dotted">
        <color auto="1"/>
      </top>
      <bottom style="dotted">
        <color auto="1"/>
      </bottom>
      <diagonal/>
    </border>
    <border>
      <left style="dotted">
        <color auto="1"/>
      </left>
      <right style="dotted">
        <color auto="1"/>
      </right>
      <top style="dotted">
        <color auto="1"/>
      </top>
      <bottom style="thick">
        <color auto="1"/>
      </bottom>
      <diagonal/>
    </border>
    <border>
      <left style="dotted">
        <color auto="1"/>
      </left>
      <right/>
      <top style="dotted">
        <color auto="1"/>
      </top>
      <bottom style="thick">
        <color auto="1"/>
      </bottom>
      <diagonal/>
    </border>
    <border>
      <left/>
      <right/>
      <top style="dotted">
        <color auto="1"/>
      </top>
      <bottom style="thick">
        <color auto="1"/>
      </bottom>
      <diagonal/>
    </border>
    <border>
      <left/>
      <right style="thick">
        <color auto="1"/>
      </right>
      <top style="dotted">
        <color auto="1"/>
      </top>
      <bottom style="thick">
        <color auto="1"/>
      </bottom>
      <diagonal/>
    </border>
    <border>
      <left/>
      <right/>
      <top style="double">
        <color auto="1"/>
      </top>
      <bottom/>
      <diagonal/>
    </border>
    <border>
      <left style="dotted">
        <color auto="1"/>
      </left>
      <right style="dotted">
        <color auto="1"/>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right style="dotted">
        <color auto="1"/>
      </right>
      <top style="thick">
        <color auto="1"/>
      </top>
      <bottom style="dotted">
        <color auto="1"/>
      </bottom>
      <diagonal/>
    </border>
    <border>
      <left/>
      <right style="dotted">
        <color auto="1"/>
      </right>
      <top/>
      <bottom/>
      <diagonal/>
    </border>
    <border>
      <left style="dotted">
        <color auto="1"/>
      </left>
      <right style="dotted">
        <color auto="1"/>
      </right>
      <top/>
      <bottom/>
      <diagonal/>
    </border>
    <border>
      <left/>
      <right/>
      <top style="dotted">
        <color auto="1"/>
      </top>
      <bottom/>
      <diagonal/>
    </border>
    <border>
      <left style="dotted">
        <color auto="1"/>
      </left>
      <right/>
      <top/>
      <bottom style="dotted">
        <color auto="1"/>
      </bottom>
      <diagonal/>
    </border>
    <border>
      <left/>
      <right/>
      <top/>
      <bottom style="dotted">
        <color auto="1"/>
      </bottom>
      <diagonal/>
    </border>
    <border>
      <left/>
      <right style="thick">
        <color auto="1"/>
      </right>
      <top/>
      <bottom/>
      <diagonal/>
    </border>
    <border>
      <left style="dotted">
        <color auto="1"/>
      </left>
      <right style="thick">
        <color auto="1"/>
      </right>
      <top/>
      <bottom/>
      <diagonal/>
    </border>
  </borders>
  <cellStyleXfs count="287">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cellStyleXfs>
  <cellXfs count="175">
    <xf numFmtId="0" fontId="0" fillId="0" borderId="0" xfId="0"/>
    <xf numFmtId="0" fontId="0" fillId="0" borderId="1" xfId="0" applyBorder="1"/>
    <xf numFmtId="0" fontId="1" fillId="3" borderId="1" xfId="0" applyFont="1" applyFill="1" applyBorder="1" applyAlignment="1">
      <alignment horizontal="center"/>
    </xf>
    <xf numFmtId="0" fontId="0" fillId="4" borderId="1" xfId="0" applyFill="1" applyBorder="1"/>
    <xf numFmtId="0" fontId="0" fillId="0" borderId="1" xfId="0" applyFont="1" applyFill="1" applyBorder="1"/>
    <xf numFmtId="0" fontId="0" fillId="0" borderId="1" xfId="0" applyFont="1" applyBorder="1" applyAlignment="1">
      <alignment horizontal="left"/>
    </xf>
    <xf numFmtId="0" fontId="0" fillId="5" borderId="1" xfId="0" applyFill="1" applyBorder="1"/>
    <xf numFmtId="0" fontId="0" fillId="0" borderId="3" xfId="0" applyBorder="1"/>
    <xf numFmtId="0" fontId="0" fillId="4" borderId="1" xfId="0" applyFill="1" applyBorder="1" applyAlignment="1">
      <alignment horizontal="right"/>
    </xf>
    <xf numFmtId="0" fontId="2" fillId="0" borderId="0" xfId="0" applyFont="1" applyFill="1" applyBorder="1" applyAlignment="1"/>
    <xf numFmtId="0" fontId="1" fillId="6" borderId="1" xfId="0" applyFont="1" applyFill="1" applyBorder="1" applyAlignment="1">
      <alignment horizontal="center"/>
    </xf>
    <xf numFmtId="0" fontId="0" fillId="7" borderId="1" xfId="0" applyFill="1" applyBorder="1"/>
    <xf numFmtId="11" fontId="0" fillId="7" borderId="1" xfId="0" applyNumberFormat="1" applyFill="1" applyBorder="1"/>
    <xf numFmtId="0" fontId="0" fillId="0" borderId="1" xfId="0" applyFill="1" applyBorder="1"/>
    <xf numFmtId="0" fontId="0" fillId="0" borderId="0" xfId="0" applyAlignment="1"/>
    <xf numFmtId="0" fontId="0" fillId="0" borderId="1" xfId="0" applyFont="1" applyBorder="1" applyAlignment="1">
      <alignment horizontal="center"/>
    </xf>
    <xf numFmtId="0" fontId="1" fillId="7" borderId="1" xfId="0" applyFont="1" applyFill="1" applyBorder="1" applyAlignment="1">
      <alignment horizontal="center"/>
    </xf>
    <xf numFmtId="0" fontId="0" fillId="8" borderId="1" xfId="0" applyFont="1" applyFill="1" applyBorder="1" applyAlignment="1">
      <alignment horizontal="center"/>
    </xf>
    <xf numFmtId="0" fontId="0" fillId="0" borderId="1" xfId="0" applyBorder="1" applyAlignment="1">
      <alignment horizontal="left"/>
    </xf>
    <xf numFmtId="0" fontId="0" fillId="0" borderId="1" xfId="0" applyFont="1" applyFill="1" applyBorder="1" applyAlignment="1">
      <alignment horizontal="left"/>
    </xf>
    <xf numFmtId="0" fontId="0" fillId="8" borderId="1" xfId="0" applyFill="1" applyBorder="1" applyAlignment="1">
      <alignment horizontal="center"/>
    </xf>
    <xf numFmtId="0" fontId="0" fillId="0" borderId="1" xfId="0" applyFont="1" applyFill="1" applyBorder="1" applyAlignment="1">
      <alignment horizontal="center"/>
    </xf>
    <xf numFmtId="0" fontId="0" fillId="6" borderId="1" xfId="0" applyFont="1" applyFill="1" applyBorder="1" applyAlignment="1">
      <alignment horizontal="left"/>
    </xf>
    <xf numFmtId="0" fontId="0" fillId="9" borderId="1" xfId="0" applyFont="1" applyFill="1" applyBorder="1" applyAlignment="1">
      <alignment horizontal="left"/>
    </xf>
    <xf numFmtId="0" fontId="1" fillId="0" borderId="8" xfId="0" applyFont="1" applyFill="1" applyBorder="1" applyAlignment="1">
      <alignment horizontal="center"/>
    </xf>
    <xf numFmtId="0" fontId="1" fillId="6" borderId="12" xfId="0" applyFont="1" applyFill="1" applyBorder="1" applyAlignment="1">
      <alignment horizontal="center"/>
    </xf>
    <xf numFmtId="0" fontId="0" fillId="0" borderId="12" xfId="0" applyBorder="1"/>
    <xf numFmtId="0" fontId="0" fillId="0" borderId="14" xfId="0" applyBorder="1"/>
    <xf numFmtId="0" fontId="0" fillId="0" borderId="6" xfId="0" applyBorder="1" applyAlignment="1"/>
    <xf numFmtId="0" fontId="0" fillId="6" borderId="1" xfId="0" applyFill="1" applyBorder="1" applyAlignment="1">
      <alignment horizontal="left"/>
    </xf>
    <xf numFmtId="0" fontId="0" fillId="0" borderId="3" xfId="0" applyBorder="1" applyAlignment="1">
      <alignment horizontal="center"/>
    </xf>
    <xf numFmtId="0" fontId="6" fillId="0" borderId="0" xfId="0" applyFont="1" applyAlignment="1">
      <alignment horizontal="center" vertical="center"/>
    </xf>
    <xf numFmtId="2" fontId="0" fillId="10" borderId="3" xfId="0" applyNumberFormat="1" applyFill="1" applyBorder="1"/>
    <xf numFmtId="0" fontId="1" fillId="7" borderId="6" xfId="0" applyFont="1" applyFill="1" applyBorder="1" applyAlignment="1">
      <alignment horizontal="center"/>
    </xf>
    <xf numFmtId="0" fontId="0" fillId="0" borderId="6" xfId="0" applyBorder="1" applyAlignment="1">
      <alignment horizontal="left"/>
    </xf>
    <xf numFmtId="0" fontId="0" fillId="0" borderId="6" xfId="0" applyFont="1" applyFill="1" applyBorder="1" applyAlignment="1">
      <alignment horizontal="left"/>
    </xf>
    <xf numFmtId="0" fontId="0" fillId="9" borderId="6" xfId="0" applyFont="1" applyFill="1" applyBorder="1" applyAlignment="1">
      <alignment horizontal="left"/>
    </xf>
    <xf numFmtId="0" fontId="0" fillId="6" borderId="6" xfId="0" applyFont="1" applyFill="1" applyBorder="1" applyAlignment="1">
      <alignment horizontal="left"/>
    </xf>
    <xf numFmtId="0" fontId="0" fillId="6" borderId="6" xfId="0" applyFill="1" applyBorder="1" applyAlignment="1">
      <alignment horizontal="left"/>
    </xf>
    <xf numFmtId="0" fontId="1" fillId="7" borderId="12" xfId="0" applyFont="1" applyFill="1" applyBorder="1" applyAlignment="1">
      <alignment horizontal="center"/>
    </xf>
    <xf numFmtId="0" fontId="0" fillId="0" borderId="12" xfId="0" applyFont="1" applyFill="1" applyBorder="1" applyAlignment="1">
      <alignment horizontal="center"/>
    </xf>
    <xf numFmtId="0" fontId="0" fillId="0" borderId="12" xfId="0" applyFont="1" applyBorder="1" applyAlignment="1">
      <alignment horizontal="center"/>
    </xf>
    <xf numFmtId="0" fontId="8" fillId="12" borderId="19" xfId="0" applyFont="1" applyFill="1" applyBorder="1" applyAlignment="1">
      <alignment horizontal="center"/>
    </xf>
    <xf numFmtId="0" fontId="8" fillId="12" borderId="20" xfId="0" applyFont="1" applyFill="1" applyBorder="1" applyAlignment="1">
      <alignment horizontal="center"/>
    </xf>
    <xf numFmtId="0" fontId="9" fillId="13" borderId="19" xfId="0" applyFont="1" applyFill="1" applyBorder="1"/>
    <xf numFmtId="0" fontId="9" fillId="13" borderId="20" xfId="0" applyFont="1" applyFill="1" applyBorder="1"/>
    <xf numFmtId="0" fontId="0" fillId="4" borderId="21" xfId="0" applyFill="1" applyBorder="1"/>
    <xf numFmtId="0" fontId="0" fillId="0" borderId="21" xfId="0" applyBorder="1" applyAlignment="1">
      <alignment horizontal="center"/>
    </xf>
    <xf numFmtId="0" fontId="1" fillId="0" borderId="0" xfId="0" applyFont="1" applyAlignment="1"/>
    <xf numFmtId="0" fontId="10" fillId="0" borderId="0" xfId="0" applyFont="1"/>
    <xf numFmtId="0" fontId="8" fillId="12" borderId="1" xfId="0" applyFont="1" applyFill="1" applyBorder="1" applyAlignment="1">
      <alignment horizontal="center"/>
    </xf>
    <xf numFmtId="0" fontId="8" fillId="15" borderId="1" xfId="0" applyFont="1" applyFill="1" applyBorder="1" applyAlignment="1">
      <alignment horizontal="center"/>
    </xf>
    <xf numFmtId="0" fontId="9" fillId="13" borderId="1" xfId="0" applyFont="1" applyFill="1" applyBorder="1"/>
    <xf numFmtId="0" fontId="1" fillId="10" borderId="1" xfId="0" applyFont="1" applyFill="1" applyBorder="1" applyAlignment="1">
      <alignment horizontal="center"/>
    </xf>
    <xf numFmtId="0" fontId="0" fillId="0" borderId="21" xfId="0" applyBorder="1"/>
    <xf numFmtId="0" fontId="1" fillId="0" borderId="1" xfId="0" applyFont="1" applyFill="1" applyBorder="1" applyAlignment="1">
      <alignment horizontal="center"/>
    </xf>
    <xf numFmtId="0" fontId="0" fillId="7" borderId="21" xfId="0" applyFill="1" applyBorder="1"/>
    <xf numFmtId="11" fontId="0" fillId="7" borderId="21" xfId="0" applyNumberFormat="1" applyFill="1" applyBorder="1"/>
    <xf numFmtId="0" fontId="9" fillId="13" borderId="24" xfId="0" applyFont="1" applyFill="1" applyBorder="1"/>
    <xf numFmtId="0" fontId="9" fillId="13" borderId="23" xfId="0" applyFont="1" applyFill="1" applyBorder="1"/>
    <xf numFmtId="0" fontId="0" fillId="0" borderId="1" xfId="0" applyFill="1" applyBorder="1" applyAlignment="1"/>
    <xf numFmtId="0" fontId="1" fillId="0" borderId="1" xfId="0" applyFont="1" applyFill="1" applyBorder="1" applyAlignment="1"/>
    <xf numFmtId="0" fontId="2" fillId="10" borderId="1" xfId="0" applyFont="1" applyFill="1" applyBorder="1" applyAlignment="1">
      <alignment horizontal="center"/>
    </xf>
    <xf numFmtId="0" fontId="2" fillId="14" borderId="1" xfId="0" applyFont="1" applyFill="1" applyBorder="1" applyAlignment="1"/>
    <xf numFmtId="0" fontId="1" fillId="0" borderId="1" xfId="0" applyFont="1" applyBorder="1" applyAlignment="1">
      <alignment horizontal="center"/>
    </xf>
    <xf numFmtId="0" fontId="0" fillId="0" borderId="1" xfId="0" applyFont="1" applyBorder="1" applyAlignment="1">
      <alignment horizontal="center" vertical="center"/>
    </xf>
    <xf numFmtId="0" fontId="0" fillId="0" borderId="10" xfId="0" applyFill="1" applyBorder="1" applyAlignment="1"/>
    <xf numFmtId="0" fontId="0" fillId="0" borderId="22" xfId="0" applyFill="1" applyBorder="1" applyAlignment="1"/>
    <xf numFmtId="0" fontId="1" fillId="0" borderId="0" xfId="0" applyFont="1"/>
    <xf numFmtId="0" fontId="0" fillId="0" borderId="21" xfId="0" applyBorder="1" applyAlignment="1">
      <alignment vertical="center"/>
    </xf>
    <xf numFmtId="0" fontId="8" fillId="12" borderId="24" xfId="0" applyFont="1" applyFill="1" applyBorder="1" applyAlignment="1">
      <alignment horizontal="center"/>
    </xf>
    <xf numFmtId="0" fontId="0" fillId="0" borderId="4" xfId="0" applyBorder="1" applyAlignment="1"/>
    <xf numFmtId="0" fontId="1" fillId="10" borderId="24" xfId="0" applyFont="1" applyFill="1" applyBorder="1" applyAlignment="1">
      <alignment horizontal="center"/>
    </xf>
    <xf numFmtId="0" fontId="1" fillId="10" borderId="0" xfId="0" applyFont="1" applyFill="1" applyBorder="1" applyAlignment="1">
      <alignment horizontal="center"/>
    </xf>
    <xf numFmtId="0" fontId="11" fillId="0" borderId="24" xfId="0" applyFont="1" applyBorder="1" applyAlignment="1">
      <alignment vertical="center"/>
    </xf>
    <xf numFmtId="0" fontId="0" fillId="0" borderId="24" xfId="0" applyBorder="1" applyAlignment="1">
      <alignment vertical="center"/>
    </xf>
    <xf numFmtId="0" fontId="11" fillId="0" borderId="19" xfId="0" applyFont="1" applyBorder="1" applyAlignment="1">
      <alignment vertical="center"/>
    </xf>
    <xf numFmtId="0" fontId="0" fillId="0" borderId="19" xfId="0" applyBorder="1" applyAlignment="1">
      <alignment vertical="center"/>
    </xf>
    <xf numFmtId="0" fontId="13" fillId="0" borderId="21" xfId="0" applyFont="1" applyBorder="1" applyAlignment="1">
      <alignment vertical="center"/>
    </xf>
    <xf numFmtId="0" fontId="0" fillId="18" borderId="0" xfId="0" applyFill="1"/>
    <xf numFmtId="0" fontId="0" fillId="17" borderId="1" xfId="0" applyFill="1" applyBorder="1" applyAlignment="1">
      <alignment vertical="center"/>
    </xf>
    <xf numFmtId="0" fontId="1" fillId="10" borderId="4" xfId="0" applyFont="1" applyFill="1" applyBorder="1" applyAlignment="1">
      <alignment horizontal="center"/>
    </xf>
    <xf numFmtId="0" fontId="0" fillId="0" borderId="4" xfId="0" applyBorder="1"/>
    <xf numFmtId="0" fontId="1" fillId="8" borderId="1" xfId="0" applyFont="1" applyFill="1" applyBorder="1" applyAlignment="1"/>
    <xf numFmtId="0" fontId="1" fillId="0" borderId="1" xfId="0" applyFont="1" applyBorder="1"/>
    <xf numFmtId="0" fontId="1" fillId="0" borderId="1" xfId="0" applyFont="1" applyFill="1" applyBorder="1"/>
    <xf numFmtId="164" fontId="0" fillId="0" borderId="0" xfId="0" applyNumberFormat="1"/>
    <xf numFmtId="0" fontId="1" fillId="0" borderId="24" xfId="0" applyFont="1" applyFill="1" applyBorder="1"/>
    <xf numFmtId="0" fontId="1" fillId="0" borderId="29" xfId="0" applyFont="1" applyFill="1" applyBorder="1"/>
    <xf numFmtId="0" fontId="0" fillId="0" borderId="28" xfId="0" applyBorder="1"/>
    <xf numFmtId="0" fontId="1" fillId="0" borderId="28" xfId="0" applyFont="1" applyBorder="1" applyAlignment="1">
      <alignment horizontal="center"/>
    </xf>
    <xf numFmtId="0" fontId="0" fillId="0" borderId="25" xfId="0" applyBorder="1" applyAlignment="1">
      <alignment vertical="center"/>
    </xf>
    <xf numFmtId="0" fontId="0" fillId="0" borderId="0" xfId="0" applyBorder="1" applyAlignment="1">
      <alignment vertical="center"/>
    </xf>
    <xf numFmtId="0" fontId="0" fillId="0" borderId="0" xfId="0" applyAlignment="1">
      <alignment vertical="center"/>
    </xf>
    <xf numFmtId="0" fontId="0" fillId="0" borderId="1" xfId="0" applyBorder="1" applyAlignment="1">
      <alignment vertical="center"/>
    </xf>
    <xf numFmtId="165" fontId="0" fillId="0" borderId="0" xfId="0" applyNumberFormat="1"/>
    <xf numFmtId="0" fontId="0" fillId="0" borderId="0" xfId="0" applyFont="1"/>
    <xf numFmtId="0" fontId="0" fillId="0" borderId="6" xfId="0" applyBorder="1"/>
    <xf numFmtId="0" fontId="1" fillId="21" borderId="1" xfId="0" applyFont="1" applyFill="1" applyBorder="1" applyAlignment="1">
      <alignment horizontal="center"/>
    </xf>
    <xf numFmtId="0" fontId="1" fillId="21" borderId="12" xfId="0" applyFont="1" applyFill="1" applyBorder="1" applyAlignment="1">
      <alignment horizontal="center"/>
    </xf>
    <xf numFmtId="0" fontId="1" fillId="21" borderId="6" xfId="0" applyFont="1" applyFill="1" applyBorder="1" applyAlignment="1">
      <alignment horizontal="center"/>
    </xf>
    <xf numFmtId="0" fontId="0" fillId="10" borderId="1" xfId="0" applyFill="1" applyBorder="1"/>
    <xf numFmtId="0" fontId="0" fillId="10" borderId="1" xfId="0" applyFill="1" applyBorder="1" applyAlignment="1">
      <alignment horizontal="center"/>
    </xf>
    <xf numFmtId="0" fontId="8" fillId="10" borderId="1" xfId="0" applyFont="1" applyFill="1" applyBorder="1" applyAlignment="1">
      <alignment horizontal="center"/>
    </xf>
    <xf numFmtId="0" fontId="1" fillId="22" borderId="1" xfId="0" applyFont="1" applyFill="1" applyBorder="1" applyAlignment="1">
      <alignment horizontal="center"/>
    </xf>
    <xf numFmtId="11" fontId="0" fillId="0" borderId="1" xfId="0" applyNumberFormat="1" applyBorder="1"/>
    <xf numFmtId="0" fontId="1" fillId="0" borderId="12" xfId="0" applyFont="1" applyBorder="1" applyAlignment="1">
      <alignment horizontal="center"/>
    </xf>
    <xf numFmtId="0" fontId="1" fillId="0" borderId="0" xfId="0" applyFont="1" applyFill="1" applyBorder="1" applyAlignment="1">
      <alignment horizontal="center"/>
    </xf>
    <xf numFmtId="0" fontId="2" fillId="0" borderId="0" xfId="0" applyFont="1" applyFill="1" applyBorder="1" applyAlignment="1">
      <alignment horizontal="center"/>
    </xf>
    <xf numFmtId="0" fontId="0" fillId="0" borderId="1" xfId="0" applyBorder="1" applyAlignment="1">
      <alignment horizontal="center"/>
    </xf>
    <xf numFmtId="0" fontId="0" fillId="0" borderId="5" xfId="0" applyBorder="1" applyAlignment="1">
      <alignment horizontal="center"/>
    </xf>
    <xf numFmtId="0" fontId="1" fillId="0" borderId="14" xfId="0" applyFont="1" applyBorder="1" applyAlignment="1">
      <alignment horizontal="center"/>
    </xf>
    <xf numFmtId="0" fontId="0" fillId="0" borderId="12" xfId="0" applyBorder="1" applyAlignment="1">
      <alignment horizontal="center"/>
    </xf>
    <xf numFmtId="0" fontId="0" fillId="0" borderId="1" xfId="0" applyFill="1" applyBorder="1" applyAlignment="1">
      <alignment horizontal="center"/>
    </xf>
    <xf numFmtId="0" fontId="0" fillId="0" borderId="1" xfId="0" applyBorder="1" applyAlignment="1">
      <alignment horizontal="center" vertical="center"/>
    </xf>
    <xf numFmtId="0" fontId="1" fillId="0" borderId="0" xfId="0" applyFont="1" applyAlignment="1">
      <alignment horizontal="center"/>
    </xf>
    <xf numFmtId="0" fontId="0" fillId="0" borderId="4" xfId="0" applyFill="1" applyBorder="1" applyAlignment="1">
      <alignment horizontal="center"/>
    </xf>
    <xf numFmtId="0" fontId="1" fillId="16" borderId="1" xfId="0" applyFont="1" applyFill="1" applyBorder="1" applyAlignment="1">
      <alignment horizontal="center"/>
    </xf>
    <xf numFmtId="0" fontId="1" fillId="0" borderId="6" xfId="0" applyFont="1" applyBorder="1" applyAlignment="1">
      <alignment horizontal="center"/>
    </xf>
    <xf numFmtId="0" fontId="0" fillId="0" borderId="0" xfId="0" applyAlignment="1">
      <alignment horizontal="center"/>
    </xf>
    <xf numFmtId="0" fontId="0" fillId="0" borderId="0" xfId="0" applyAlignment="1">
      <alignment horizontal="center"/>
    </xf>
    <xf numFmtId="0" fontId="2" fillId="0" borderId="2" xfId="0" applyFont="1" applyFill="1" applyBorder="1" applyAlignment="1">
      <alignment horizontal="center"/>
    </xf>
    <xf numFmtId="0" fontId="2" fillId="0" borderId="0" xfId="0" applyFont="1" applyFill="1" applyBorder="1" applyAlignment="1">
      <alignment horizontal="center"/>
    </xf>
    <xf numFmtId="0" fontId="2" fillId="2" borderId="5" xfId="0" applyFont="1" applyFill="1" applyBorder="1" applyAlignment="1">
      <alignment horizontal="center"/>
    </xf>
    <xf numFmtId="0" fontId="2" fillId="2" borderId="6" xfId="0" applyFont="1" applyFill="1" applyBorder="1" applyAlignment="1">
      <alignment horizontal="center"/>
    </xf>
    <xf numFmtId="0" fontId="1" fillId="11" borderId="18" xfId="0" applyFont="1" applyFill="1" applyBorder="1" applyAlignment="1">
      <alignment horizontal="center"/>
    </xf>
    <xf numFmtId="0" fontId="0" fillId="0" borderId="1" xfId="0" applyBorder="1" applyAlignment="1">
      <alignment horizontal="center"/>
    </xf>
    <xf numFmtId="0" fontId="5" fillId="0" borderId="1" xfId="0" applyFont="1" applyBorder="1" applyAlignment="1">
      <alignment horizontal="center"/>
    </xf>
    <xf numFmtId="0" fontId="0" fillId="0" borderId="0" xfId="0" applyAlignment="1">
      <alignment horizontal="center" vertical="center"/>
    </xf>
    <xf numFmtId="0" fontId="0" fillId="0" borderId="7" xfId="0" applyBorder="1" applyAlignment="1">
      <alignment horizontal="center" vertical="center"/>
    </xf>
    <xf numFmtId="0" fontId="2" fillId="2" borderId="4" xfId="0" applyFont="1" applyFill="1" applyBorder="1" applyAlignment="1">
      <alignment horizontal="center"/>
    </xf>
    <xf numFmtId="0" fontId="2" fillId="2" borderId="13" xfId="0" applyFont="1" applyFill="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1" fillId="0" borderId="14" xfId="0" applyFont="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1" fillId="0" borderId="15" xfId="0" applyFont="1" applyBorder="1" applyAlignment="1">
      <alignment horizontal="center"/>
    </xf>
    <xf numFmtId="0" fontId="1" fillId="0" borderId="16" xfId="0" applyFont="1" applyBorder="1" applyAlignment="1">
      <alignment horizontal="center"/>
    </xf>
    <xf numFmtId="0" fontId="1" fillId="0" borderId="17" xfId="0" applyFont="1" applyBorder="1" applyAlignment="1">
      <alignment horizontal="center"/>
    </xf>
    <xf numFmtId="0" fontId="2" fillId="2" borderId="1" xfId="0" applyFont="1" applyFill="1" applyBorder="1" applyAlignment="1">
      <alignment horizontal="center"/>
    </xf>
    <xf numFmtId="0" fontId="0" fillId="0" borderId="1" xfId="0" applyFill="1" applyBorder="1" applyAlignment="1">
      <alignment horizontal="center"/>
    </xf>
    <xf numFmtId="0" fontId="0" fillId="0" borderId="8" xfId="0" applyFill="1" applyBorder="1" applyAlignment="1">
      <alignment horizontal="center"/>
    </xf>
    <xf numFmtId="0" fontId="0" fillId="0" borderId="1" xfId="0" applyBorder="1" applyAlignment="1">
      <alignment horizontal="center" vertical="center"/>
    </xf>
    <xf numFmtId="0" fontId="0" fillId="0" borderId="27" xfId="0" applyBorder="1" applyAlignment="1">
      <alignment horizontal="center"/>
    </xf>
    <xf numFmtId="0" fontId="1" fillId="0" borderId="0" xfId="0" applyFont="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1" fillId="0" borderId="27" xfId="0" applyFont="1" applyBorder="1" applyAlignment="1">
      <alignment horizontal="center"/>
    </xf>
    <xf numFmtId="0" fontId="0" fillId="0" borderId="26" xfId="0" applyBorder="1" applyAlignment="1">
      <alignment horizontal="center"/>
    </xf>
    <xf numFmtId="0" fontId="0" fillId="0" borderId="20" xfId="0" applyBorder="1" applyAlignment="1">
      <alignment horizontal="center"/>
    </xf>
    <xf numFmtId="0" fontId="0" fillId="0" borderId="9" xfId="0" applyFill="1" applyBorder="1" applyAlignment="1">
      <alignment horizontal="center"/>
    </xf>
    <xf numFmtId="0" fontId="0" fillId="0" borderId="10" xfId="0" applyFill="1" applyBorder="1" applyAlignment="1">
      <alignment horizontal="center"/>
    </xf>
    <xf numFmtId="0" fontId="0" fillId="0" borderId="4" xfId="0" applyFill="1" applyBorder="1" applyAlignment="1">
      <alignment horizontal="center"/>
    </xf>
    <xf numFmtId="0" fontId="0" fillId="0" borderId="5" xfId="0" applyFill="1" applyBorder="1" applyAlignment="1">
      <alignment horizontal="center"/>
    </xf>
    <xf numFmtId="0" fontId="0" fillId="0" borderId="6" xfId="0" applyFill="1" applyBorder="1" applyAlignment="1">
      <alignment horizontal="center"/>
    </xf>
    <xf numFmtId="0" fontId="7" fillId="0" borderId="4" xfId="0" applyFont="1" applyBorder="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1" fillId="20" borderId="1" xfId="0" applyFont="1" applyFill="1" applyBorder="1" applyAlignment="1">
      <alignment horizontal="center"/>
    </xf>
    <xf numFmtId="0" fontId="1" fillId="20" borderId="12" xfId="0" applyFont="1" applyFill="1" applyBorder="1" applyAlignment="1">
      <alignment horizontal="center"/>
    </xf>
    <xf numFmtId="0" fontId="1" fillId="16" borderId="6" xfId="0" applyFont="1" applyFill="1" applyBorder="1" applyAlignment="1">
      <alignment horizontal="center"/>
    </xf>
    <xf numFmtId="0" fontId="1" fillId="16" borderId="1" xfId="0" applyFont="1" applyFill="1" applyBorder="1" applyAlignment="1">
      <alignment horizontal="center"/>
    </xf>
    <xf numFmtId="0" fontId="1" fillId="8" borderId="4" xfId="0" applyFont="1" applyFill="1" applyBorder="1" applyAlignment="1">
      <alignment horizontal="center"/>
    </xf>
    <xf numFmtId="0" fontId="1" fillId="8" borderId="5" xfId="0" applyFont="1" applyFill="1" applyBorder="1" applyAlignment="1">
      <alignment horizontal="center"/>
    </xf>
    <xf numFmtId="0" fontId="1" fillId="8" borderId="6" xfId="0" applyFont="1" applyFill="1" applyBorder="1" applyAlignment="1">
      <alignment horizontal="center"/>
    </xf>
    <xf numFmtId="0" fontId="1" fillId="8" borderId="1" xfId="0" applyFont="1" applyFill="1" applyBorder="1" applyAlignment="1">
      <alignment horizontal="center"/>
    </xf>
    <xf numFmtId="0" fontId="15" fillId="19" borderId="1" xfId="0" applyFont="1" applyFill="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0" fontId="0" fillId="0" borderId="6" xfId="0" applyBorder="1" applyAlignment="1">
      <alignment horizontal="center"/>
    </xf>
    <xf numFmtId="0" fontId="1" fillId="23" borderId="0" xfId="0" applyFont="1" applyFill="1" applyAlignment="1">
      <alignment horizontal="center"/>
    </xf>
  </cellXfs>
  <cellStyles count="287">
    <cellStyle name="Followed Hyperlink" xfId="200" builtinId="9" hidden="1"/>
    <cellStyle name="Followed Hyperlink" xfId="208" builtinId="9" hidden="1"/>
    <cellStyle name="Followed Hyperlink" xfId="216" builtinId="9" hidden="1"/>
    <cellStyle name="Followed Hyperlink" xfId="224" builtinId="9" hidden="1"/>
    <cellStyle name="Followed Hyperlink" xfId="232" builtinId="9" hidden="1"/>
    <cellStyle name="Followed Hyperlink" xfId="240" builtinId="9" hidden="1"/>
    <cellStyle name="Followed Hyperlink" xfId="248" builtinId="9" hidden="1"/>
    <cellStyle name="Followed Hyperlink" xfId="256" builtinId="9" hidden="1"/>
    <cellStyle name="Followed Hyperlink" xfId="264" builtinId="9" hidden="1"/>
    <cellStyle name="Followed Hyperlink" xfId="272" builtinId="9" hidden="1"/>
    <cellStyle name="Followed Hyperlink" xfId="278" builtinId="9" hidden="1"/>
    <cellStyle name="Followed Hyperlink" xfId="270" builtinId="9" hidden="1"/>
    <cellStyle name="Followed Hyperlink" xfId="262" builtinId="9" hidden="1"/>
    <cellStyle name="Followed Hyperlink" xfId="254" builtinId="9" hidden="1"/>
    <cellStyle name="Followed Hyperlink" xfId="246" builtinId="9" hidden="1"/>
    <cellStyle name="Followed Hyperlink" xfId="238" builtinId="9" hidden="1"/>
    <cellStyle name="Followed Hyperlink" xfId="230" builtinId="9" hidden="1"/>
    <cellStyle name="Followed Hyperlink" xfId="222" builtinId="9" hidden="1"/>
    <cellStyle name="Followed Hyperlink" xfId="214" builtinId="9" hidden="1"/>
    <cellStyle name="Followed Hyperlink" xfId="206" builtinId="9" hidden="1"/>
    <cellStyle name="Followed Hyperlink" xfId="198" builtinId="9" hidden="1"/>
    <cellStyle name="Followed Hyperlink" xfId="190" builtinId="9" hidden="1"/>
    <cellStyle name="Followed Hyperlink" xfId="182" builtinId="9" hidden="1"/>
    <cellStyle name="Followed Hyperlink" xfId="174" builtinId="9" hidden="1"/>
    <cellStyle name="Followed Hyperlink" xfId="166" builtinId="9" hidden="1"/>
    <cellStyle name="Followed Hyperlink" xfId="158" builtinId="9" hidden="1"/>
    <cellStyle name="Followed Hyperlink" xfId="150" builtinId="9" hidden="1"/>
    <cellStyle name="Followed Hyperlink" xfId="142" builtinId="9" hidden="1"/>
    <cellStyle name="Followed Hyperlink" xfId="134" builtinId="9" hidden="1"/>
    <cellStyle name="Followed Hyperlink" xfId="126" builtinId="9" hidden="1"/>
    <cellStyle name="Followed Hyperlink" xfId="118" builtinId="9" hidden="1"/>
    <cellStyle name="Followed Hyperlink" xfId="110" builtinId="9" hidden="1"/>
    <cellStyle name="Followed Hyperlink" xfId="102" builtinId="9" hidden="1"/>
    <cellStyle name="Followed Hyperlink" xfId="94" builtinId="9" hidden="1"/>
    <cellStyle name="Followed Hyperlink" xfId="86" builtinId="9" hidden="1"/>
    <cellStyle name="Followed Hyperlink" xfId="78" builtinId="9" hidden="1"/>
    <cellStyle name="Followed Hyperlink" xfId="70" builtinId="9" hidden="1"/>
    <cellStyle name="Followed Hyperlink" xfId="24" builtinId="9" hidden="1"/>
    <cellStyle name="Followed Hyperlink" xfId="28" builtinId="9" hidden="1"/>
    <cellStyle name="Followed Hyperlink" xfId="34" builtinId="9" hidden="1"/>
    <cellStyle name="Followed Hyperlink" xfId="40" builtinId="9" hidden="1"/>
    <cellStyle name="Followed Hyperlink" xfId="44" builtinId="9" hidden="1"/>
    <cellStyle name="Followed Hyperlink" xfId="50" builtinId="9" hidden="1"/>
    <cellStyle name="Followed Hyperlink" xfId="56" builtinId="9" hidden="1"/>
    <cellStyle name="Followed Hyperlink" xfId="60" builtinId="9" hidden="1"/>
    <cellStyle name="Followed Hyperlink" xfId="62" builtinId="9" hidden="1"/>
    <cellStyle name="Followed Hyperlink" xfId="46" builtinId="9" hidden="1"/>
    <cellStyle name="Followed Hyperlink" xfId="30" builtinId="9" hidden="1"/>
    <cellStyle name="Followed Hyperlink" xfId="10" builtinId="9" hidden="1"/>
    <cellStyle name="Followed Hyperlink" xfId="16" builtinId="9" hidden="1"/>
    <cellStyle name="Followed Hyperlink" xfId="20" builtinId="9" hidden="1"/>
    <cellStyle name="Followed Hyperlink" xfId="6" builtinId="9" hidden="1"/>
    <cellStyle name="Followed Hyperlink" xfId="4" builtinId="9" hidden="1"/>
    <cellStyle name="Followed Hyperlink" xfId="280" builtinId="9" hidden="1"/>
    <cellStyle name="Followed Hyperlink" xfId="282" builtinId="9" hidden="1"/>
    <cellStyle name="Followed Hyperlink" xfId="2" builtinId="9" hidden="1"/>
    <cellStyle name="Followed Hyperlink" xfId="8" builtinId="9" hidden="1"/>
    <cellStyle name="Followed Hyperlink" xfId="14" builtinId="9" hidden="1"/>
    <cellStyle name="Followed Hyperlink" xfId="18" builtinId="9" hidden="1"/>
    <cellStyle name="Followed Hyperlink" xfId="12" builtinId="9" hidden="1"/>
    <cellStyle name="Followed Hyperlink" xfId="22" builtinId="9" hidden="1"/>
    <cellStyle name="Followed Hyperlink" xfId="38" builtinId="9" hidden="1"/>
    <cellStyle name="Followed Hyperlink" xfId="54" builtinId="9" hidden="1"/>
    <cellStyle name="Followed Hyperlink" xfId="64" builtinId="9" hidden="1"/>
    <cellStyle name="Followed Hyperlink" xfId="58" builtinId="9" hidden="1"/>
    <cellStyle name="Followed Hyperlink" xfId="52" builtinId="9" hidden="1"/>
    <cellStyle name="Followed Hyperlink" xfId="48" builtinId="9" hidden="1"/>
    <cellStyle name="Followed Hyperlink" xfId="42" builtinId="9" hidden="1"/>
    <cellStyle name="Followed Hyperlink" xfId="36" builtinId="9" hidden="1"/>
    <cellStyle name="Followed Hyperlink" xfId="32" builtinId="9" hidden="1"/>
    <cellStyle name="Followed Hyperlink" xfId="26" builtinId="9" hidden="1"/>
    <cellStyle name="Followed Hyperlink" xfId="66" builtinId="9" hidden="1"/>
    <cellStyle name="Followed Hyperlink" xfId="74" builtinId="9" hidden="1"/>
    <cellStyle name="Followed Hyperlink" xfId="82" builtinId="9" hidden="1"/>
    <cellStyle name="Followed Hyperlink" xfId="90" builtinId="9" hidden="1"/>
    <cellStyle name="Followed Hyperlink" xfId="98" builtinId="9" hidden="1"/>
    <cellStyle name="Followed Hyperlink" xfId="106" builtinId="9" hidden="1"/>
    <cellStyle name="Followed Hyperlink" xfId="114" builtinId="9" hidden="1"/>
    <cellStyle name="Followed Hyperlink" xfId="122" builtinId="9" hidden="1"/>
    <cellStyle name="Followed Hyperlink" xfId="130" builtinId="9" hidden="1"/>
    <cellStyle name="Followed Hyperlink" xfId="138" builtinId="9" hidden="1"/>
    <cellStyle name="Followed Hyperlink" xfId="146" builtinId="9" hidden="1"/>
    <cellStyle name="Followed Hyperlink" xfId="154" builtinId="9" hidden="1"/>
    <cellStyle name="Followed Hyperlink" xfId="162" builtinId="9" hidden="1"/>
    <cellStyle name="Followed Hyperlink" xfId="170" builtinId="9" hidden="1"/>
    <cellStyle name="Followed Hyperlink" xfId="178" builtinId="9" hidden="1"/>
    <cellStyle name="Followed Hyperlink" xfId="186" builtinId="9" hidden="1"/>
    <cellStyle name="Followed Hyperlink" xfId="194" builtinId="9" hidden="1"/>
    <cellStyle name="Followed Hyperlink" xfId="202" builtinId="9" hidden="1"/>
    <cellStyle name="Followed Hyperlink" xfId="210" builtinId="9" hidden="1"/>
    <cellStyle name="Followed Hyperlink" xfId="218" builtinId="9" hidden="1"/>
    <cellStyle name="Followed Hyperlink" xfId="226" builtinId="9" hidden="1"/>
    <cellStyle name="Followed Hyperlink" xfId="234" builtinId="9" hidden="1"/>
    <cellStyle name="Followed Hyperlink" xfId="242" builtinId="9" hidden="1"/>
    <cellStyle name="Followed Hyperlink" xfId="250" builtinId="9" hidden="1"/>
    <cellStyle name="Followed Hyperlink" xfId="258" builtinId="9" hidden="1"/>
    <cellStyle name="Followed Hyperlink" xfId="266" builtinId="9" hidden="1"/>
    <cellStyle name="Followed Hyperlink" xfId="274" builtinId="9" hidden="1"/>
    <cellStyle name="Followed Hyperlink" xfId="276" builtinId="9" hidden="1"/>
    <cellStyle name="Followed Hyperlink" xfId="268" builtinId="9" hidden="1"/>
    <cellStyle name="Followed Hyperlink" xfId="260" builtinId="9" hidden="1"/>
    <cellStyle name="Followed Hyperlink" xfId="252" builtinId="9" hidden="1"/>
    <cellStyle name="Followed Hyperlink" xfId="244" builtinId="9" hidden="1"/>
    <cellStyle name="Followed Hyperlink" xfId="236" builtinId="9" hidden="1"/>
    <cellStyle name="Followed Hyperlink" xfId="228" builtinId="9" hidden="1"/>
    <cellStyle name="Followed Hyperlink" xfId="220" builtinId="9" hidden="1"/>
    <cellStyle name="Followed Hyperlink" xfId="212" builtinId="9" hidden="1"/>
    <cellStyle name="Followed Hyperlink" xfId="204" builtinId="9" hidden="1"/>
    <cellStyle name="Followed Hyperlink" xfId="196" builtinId="9" hidden="1"/>
    <cellStyle name="Followed Hyperlink" xfId="112" builtinId="9" hidden="1"/>
    <cellStyle name="Followed Hyperlink" xfId="116" builtinId="9" hidden="1"/>
    <cellStyle name="Followed Hyperlink" xfId="120" builtinId="9" hidden="1"/>
    <cellStyle name="Followed Hyperlink" xfId="128" builtinId="9" hidden="1"/>
    <cellStyle name="Followed Hyperlink" xfId="132" builtinId="9" hidden="1"/>
    <cellStyle name="Followed Hyperlink" xfId="136" builtinId="9" hidden="1"/>
    <cellStyle name="Followed Hyperlink" xfId="144" builtinId="9" hidden="1"/>
    <cellStyle name="Followed Hyperlink" xfId="148" builtinId="9" hidden="1"/>
    <cellStyle name="Followed Hyperlink" xfId="152" builtinId="9" hidden="1"/>
    <cellStyle name="Followed Hyperlink" xfId="160" builtinId="9" hidden="1"/>
    <cellStyle name="Followed Hyperlink" xfId="164" builtinId="9" hidden="1"/>
    <cellStyle name="Followed Hyperlink" xfId="168" builtinId="9" hidden="1"/>
    <cellStyle name="Followed Hyperlink" xfId="176" builtinId="9" hidden="1"/>
    <cellStyle name="Followed Hyperlink" xfId="180" builtinId="9" hidden="1"/>
    <cellStyle name="Followed Hyperlink" xfId="184" builtinId="9" hidden="1"/>
    <cellStyle name="Followed Hyperlink" xfId="192" builtinId="9" hidden="1"/>
    <cellStyle name="Followed Hyperlink" xfId="188" builtinId="9" hidden="1"/>
    <cellStyle name="Followed Hyperlink" xfId="172" builtinId="9" hidden="1"/>
    <cellStyle name="Followed Hyperlink" xfId="156" builtinId="9" hidden="1"/>
    <cellStyle name="Followed Hyperlink" xfId="140" builtinId="9" hidden="1"/>
    <cellStyle name="Followed Hyperlink" xfId="124" builtinId="9" hidden="1"/>
    <cellStyle name="Followed Hyperlink" xfId="108" builtinId="9" hidden="1"/>
    <cellStyle name="Followed Hyperlink" xfId="84" builtinId="9" hidden="1"/>
    <cellStyle name="Followed Hyperlink" xfId="88" builtinId="9" hidden="1"/>
    <cellStyle name="Followed Hyperlink" xfId="96" builtinId="9" hidden="1"/>
    <cellStyle name="Followed Hyperlink" xfId="100" builtinId="9" hidden="1"/>
    <cellStyle name="Followed Hyperlink" xfId="104" builtinId="9" hidden="1"/>
    <cellStyle name="Followed Hyperlink" xfId="92" builtinId="9" hidden="1"/>
    <cellStyle name="Followed Hyperlink" xfId="76" builtinId="9" hidden="1"/>
    <cellStyle name="Followed Hyperlink" xfId="80" builtinId="9" hidden="1"/>
    <cellStyle name="Followed Hyperlink" xfId="72" builtinId="9" hidden="1"/>
    <cellStyle name="Followed Hyperlink" xfId="68" builtinId="9" hidden="1"/>
    <cellStyle name="Followed Hyperlink" xfId="284" builtinId="9" hidden="1"/>
    <cellStyle name="Followed Hyperlink" xfId="286" builtinId="9" hidden="1"/>
    <cellStyle name="Hyperlink" xfId="275" builtinId="8" hidden="1"/>
    <cellStyle name="Hyperlink" xfId="267" builtinId="8" hidden="1"/>
    <cellStyle name="Hyperlink" xfId="259" builtinId="8" hidden="1"/>
    <cellStyle name="Hyperlink" xfId="243" builtinId="8" hidden="1"/>
    <cellStyle name="Hyperlink" xfId="235" builtinId="8" hidden="1"/>
    <cellStyle name="Hyperlink" xfId="227" builtinId="8" hidden="1"/>
    <cellStyle name="Hyperlink" xfId="211" builtinId="8" hidden="1"/>
    <cellStyle name="Hyperlink" xfId="203" builtinId="8" hidden="1"/>
    <cellStyle name="Hyperlink" xfId="195" builtinId="8" hidden="1"/>
    <cellStyle name="Hyperlink" xfId="179" builtinId="8" hidden="1"/>
    <cellStyle name="Hyperlink" xfId="171" builtinId="8" hidden="1"/>
    <cellStyle name="Hyperlink" xfId="163" builtinId="8" hidden="1"/>
    <cellStyle name="Hyperlink" xfId="147" builtinId="8" hidden="1"/>
    <cellStyle name="Hyperlink" xfId="139" builtinId="8" hidden="1"/>
    <cellStyle name="Hyperlink" xfId="131" builtinId="8" hidden="1"/>
    <cellStyle name="Hyperlink" xfId="51" builtinId="8" hidden="1"/>
    <cellStyle name="Hyperlink" xfId="53" builtinId="8" hidden="1"/>
    <cellStyle name="Hyperlink" xfId="55" builtinId="8" hidden="1"/>
    <cellStyle name="Hyperlink" xfId="61" builtinId="8" hidden="1"/>
    <cellStyle name="Hyperlink" xfId="63" builtinId="8" hidden="1"/>
    <cellStyle name="Hyperlink" xfId="65" builtinId="8" hidden="1"/>
    <cellStyle name="Hyperlink" xfId="69" builtinId="8" hidden="1"/>
    <cellStyle name="Hyperlink" xfId="71" builtinId="8" hidden="1"/>
    <cellStyle name="Hyperlink" xfId="73" builtinId="8" hidden="1"/>
    <cellStyle name="Hyperlink" xfId="79" builtinId="8" hidden="1"/>
    <cellStyle name="Hyperlink" xfId="81" builtinId="8" hidden="1"/>
    <cellStyle name="Hyperlink" xfId="83" builtinId="8" hidden="1"/>
    <cellStyle name="Hyperlink" xfId="87" builtinId="8" hidden="1"/>
    <cellStyle name="Hyperlink" xfId="89" builtinId="8" hidden="1"/>
    <cellStyle name="Hyperlink" xfId="93" builtinId="8" hidden="1"/>
    <cellStyle name="Hyperlink" xfId="97" builtinId="8" hidden="1"/>
    <cellStyle name="Hyperlink" xfId="99" builtinId="8" hidden="1"/>
    <cellStyle name="Hyperlink" xfId="101" builtinId="8" hidden="1"/>
    <cellStyle name="Hyperlink" xfId="105" builtinId="8" hidden="1"/>
    <cellStyle name="Hyperlink" xfId="109" builtinId="8" hidden="1"/>
    <cellStyle name="Hyperlink" xfId="111" builtinId="8" hidden="1"/>
    <cellStyle name="Hyperlink" xfId="115" builtinId="8" hidden="1"/>
    <cellStyle name="Hyperlink" xfId="117" builtinId="8" hidden="1"/>
    <cellStyle name="Hyperlink" xfId="107" builtinId="8" hidden="1"/>
    <cellStyle name="Hyperlink" xfId="75" builtinId="8" hidden="1"/>
    <cellStyle name="Hyperlink" xfId="59" builtinId="8" hidden="1"/>
    <cellStyle name="Hyperlink" xfId="23" builtinId="8" hidden="1"/>
    <cellStyle name="Hyperlink" xfId="29" builtinId="8" hidden="1"/>
    <cellStyle name="Hyperlink" xfId="31" builtinId="8" hidden="1"/>
    <cellStyle name="Hyperlink" xfId="33" builtinId="8" hidden="1"/>
    <cellStyle name="Hyperlink" xfId="37" builtinId="8" hidden="1"/>
    <cellStyle name="Hyperlink" xfId="39" builtinId="8" hidden="1"/>
    <cellStyle name="Hyperlink" xfId="41" builtinId="8" hidden="1"/>
    <cellStyle name="Hyperlink" xfId="45" builtinId="8" hidden="1"/>
    <cellStyle name="Hyperlink" xfId="47" builtinId="8" hidden="1"/>
    <cellStyle name="Hyperlink" xfId="49" builtinId="8" hidden="1"/>
    <cellStyle name="Hyperlink" xfId="11" builtinId="8" hidden="1"/>
    <cellStyle name="Hyperlink" xfId="13" builtinId="8" hidden="1"/>
    <cellStyle name="Hyperlink" xfId="15" builtinId="8" hidden="1"/>
    <cellStyle name="Hyperlink" xfId="19" builtinId="8" hidden="1"/>
    <cellStyle name="Hyperlink" xfId="21" builtinId="8" hidden="1"/>
    <cellStyle name="Hyperlink" xfId="5" builtinId="8" hidden="1"/>
    <cellStyle name="Hyperlink" xfId="9" builtinId="8" hidden="1"/>
    <cellStyle name="Hyperlink" xfId="3" builtinId="8" hidden="1"/>
    <cellStyle name="Hyperlink" xfId="1" builtinId="8" hidden="1"/>
    <cellStyle name="Hyperlink" xfId="281" builtinId="8" hidden="1"/>
    <cellStyle name="Hyperlink" xfId="279" builtinId="8" hidden="1"/>
    <cellStyle name="Hyperlink" xfId="7" builtinId="8" hidden="1"/>
    <cellStyle name="Hyperlink" xfId="17" builtinId="8" hidden="1"/>
    <cellStyle name="Hyperlink" xfId="27" builtinId="8" hidden="1"/>
    <cellStyle name="Hyperlink" xfId="43" builtinId="8" hidden="1"/>
    <cellStyle name="Hyperlink" xfId="35" builtinId="8" hidden="1"/>
    <cellStyle name="Hyperlink" xfId="25" builtinId="8" hidden="1"/>
    <cellStyle name="Hyperlink" xfId="91" builtinId="8" hidden="1"/>
    <cellStyle name="Hyperlink" xfId="113" builtinId="8" hidden="1"/>
    <cellStyle name="Hyperlink" xfId="103" builtinId="8" hidden="1"/>
    <cellStyle name="Hyperlink" xfId="95" builtinId="8" hidden="1"/>
    <cellStyle name="Hyperlink" xfId="85" builtinId="8" hidden="1"/>
    <cellStyle name="Hyperlink" xfId="77" builtinId="8" hidden="1"/>
    <cellStyle name="Hyperlink" xfId="67" builtinId="8" hidden="1"/>
    <cellStyle name="Hyperlink" xfId="57" builtinId="8" hidden="1"/>
    <cellStyle name="Hyperlink" xfId="123" builtinId="8" hidden="1"/>
    <cellStyle name="Hyperlink" xfId="155" builtinId="8" hidden="1"/>
    <cellStyle name="Hyperlink" xfId="187" builtinId="8" hidden="1"/>
    <cellStyle name="Hyperlink" xfId="219" builtinId="8" hidden="1"/>
    <cellStyle name="Hyperlink" xfId="251" builtinId="8" hidden="1"/>
    <cellStyle name="Hyperlink" xfId="277" builtinId="8" hidden="1"/>
    <cellStyle name="Hyperlink" xfId="185" builtinId="8" hidden="1"/>
    <cellStyle name="Hyperlink" xfId="189" builtinId="8" hidden="1"/>
    <cellStyle name="Hyperlink" xfId="193" builtinId="8" hidden="1"/>
    <cellStyle name="Hyperlink" xfId="197" builtinId="8" hidden="1"/>
    <cellStyle name="Hyperlink" xfId="199" builtinId="8" hidden="1"/>
    <cellStyle name="Hyperlink" xfId="201" builtinId="8" hidden="1"/>
    <cellStyle name="Hyperlink" xfId="205" builtinId="8" hidden="1"/>
    <cellStyle name="Hyperlink" xfId="207" builtinId="8" hidden="1"/>
    <cellStyle name="Hyperlink" xfId="209" builtinId="8" hidden="1"/>
    <cellStyle name="Hyperlink" xfId="215" builtinId="8" hidden="1"/>
    <cellStyle name="Hyperlink" xfId="217" builtinId="8" hidden="1"/>
    <cellStyle name="Hyperlink" xfId="221" builtinId="8" hidden="1"/>
    <cellStyle name="Hyperlink" xfId="223" builtinId="8" hidden="1"/>
    <cellStyle name="Hyperlink" xfId="225" builtinId="8" hidden="1"/>
    <cellStyle name="Hyperlink" xfId="229" builtinId="8" hidden="1"/>
    <cellStyle name="Hyperlink" xfId="231" builtinId="8" hidden="1"/>
    <cellStyle name="Hyperlink" xfId="237" builtinId="8" hidden="1"/>
    <cellStyle name="Hyperlink" xfId="239" builtinId="8" hidden="1"/>
    <cellStyle name="Hyperlink" xfId="241" builtinId="8" hidden="1"/>
    <cellStyle name="Hyperlink" xfId="245" builtinId="8" hidden="1"/>
    <cellStyle name="Hyperlink" xfId="247" builtinId="8" hidden="1"/>
    <cellStyle name="Hyperlink" xfId="249" builtinId="8" hidden="1"/>
    <cellStyle name="Hyperlink" xfId="253" builtinId="8" hidden="1"/>
    <cellStyle name="Hyperlink" xfId="257" builtinId="8" hidden="1"/>
    <cellStyle name="Hyperlink" xfId="261" builtinId="8" hidden="1"/>
    <cellStyle name="Hyperlink" xfId="263" builtinId="8" hidden="1"/>
    <cellStyle name="Hyperlink" xfId="265" builtinId="8" hidden="1"/>
    <cellStyle name="Hyperlink" xfId="269" builtinId="8" hidden="1"/>
    <cellStyle name="Hyperlink" xfId="271" builtinId="8" hidden="1"/>
    <cellStyle name="Hyperlink" xfId="273" builtinId="8" hidden="1"/>
    <cellStyle name="Hyperlink" xfId="255" builtinId="8" hidden="1"/>
    <cellStyle name="Hyperlink" xfId="233" builtinId="8" hidden="1"/>
    <cellStyle name="Hyperlink" xfId="213" builtinId="8" hidden="1"/>
    <cellStyle name="Hyperlink" xfId="191" builtinId="8" hidden="1"/>
    <cellStyle name="Hyperlink" xfId="151" builtinId="8" hidden="1"/>
    <cellStyle name="Hyperlink" xfId="153" builtinId="8" hidden="1"/>
    <cellStyle name="Hyperlink" xfId="157" builtinId="8" hidden="1"/>
    <cellStyle name="Hyperlink" xfId="159" builtinId="8" hidden="1"/>
    <cellStyle name="Hyperlink" xfId="161" builtinId="8" hidden="1"/>
    <cellStyle name="Hyperlink" xfId="165" builtinId="8" hidden="1"/>
    <cellStyle name="Hyperlink" xfId="167" builtinId="8" hidden="1"/>
    <cellStyle name="Hyperlink" xfId="169" builtinId="8" hidden="1"/>
    <cellStyle name="Hyperlink" xfId="173" builtinId="8" hidden="1"/>
    <cellStyle name="Hyperlink" xfId="175" builtinId="8" hidden="1"/>
    <cellStyle name="Hyperlink" xfId="177" builtinId="8" hidden="1"/>
    <cellStyle name="Hyperlink" xfId="181" builtinId="8" hidden="1"/>
    <cellStyle name="Hyperlink" xfId="183" builtinId="8" hidden="1"/>
    <cellStyle name="Hyperlink" xfId="149" builtinId="8" hidden="1"/>
    <cellStyle name="Hyperlink" xfId="133" builtinId="8" hidden="1"/>
    <cellStyle name="Hyperlink" xfId="135" builtinId="8" hidden="1"/>
    <cellStyle name="Hyperlink" xfId="137" builtinId="8" hidden="1"/>
    <cellStyle name="Hyperlink" xfId="141" builtinId="8" hidden="1"/>
    <cellStyle name="Hyperlink" xfId="143" builtinId="8" hidden="1"/>
    <cellStyle name="Hyperlink" xfId="145" builtinId="8" hidden="1"/>
    <cellStyle name="Hyperlink" xfId="125" builtinId="8" hidden="1"/>
    <cellStyle name="Hyperlink" xfId="127" builtinId="8" hidden="1"/>
    <cellStyle name="Hyperlink" xfId="129" builtinId="8" hidden="1"/>
    <cellStyle name="Hyperlink" xfId="121" builtinId="8" hidden="1"/>
    <cellStyle name="Hyperlink" xfId="119" builtinId="8" hidden="1"/>
    <cellStyle name="Hyperlink" xfId="283" builtinId="8" hidden="1"/>
    <cellStyle name="Hyperlink" xfId="285" builtinId="8" hidden="1"/>
    <cellStyle name="Normal" xfId="0" builtinId="0"/>
  </cellStyles>
  <dxfs count="0"/>
  <tableStyles count="0" defaultTableStyle="TableStyleMedium9" defaultPivotStyle="PivotStyleMedium7"/>
  <colors>
    <mruColors>
      <color rgb="FFCC0000"/>
      <color rgb="FF99FF66"/>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image" Target="../media/image3.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17</xdr:col>
      <xdr:colOff>449036</xdr:colOff>
      <xdr:row>1</xdr:row>
      <xdr:rowOff>40822</xdr:rowOff>
    </xdr:from>
    <xdr:to>
      <xdr:col>24</xdr:col>
      <xdr:colOff>230374</xdr:colOff>
      <xdr:row>3</xdr:row>
      <xdr:rowOff>112415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14709322" y="244929"/>
          <a:ext cx="4734338" cy="479807"/>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533400</xdr:colOff>
      <xdr:row>2</xdr:row>
      <xdr:rowOff>47625</xdr:rowOff>
    </xdr:from>
    <xdr:ext cx="2057400" cy="172227"/>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3943350" y="447675"/>
              <a:ext cx="20574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sSub>
                    <m:sSubPr>
                      <m:ctrlPr>
                        <a:rPr lang="en-CA" sz="1100" i="1">
                          <a:latin typeface="Cambria Math" panose="02040503050406030204" pitchFamily="18" charset="0"/>
                        </a:rPr>
                      </m:ctrlPr>
                    </m:sSubPr>
                    <m:e>
                      <m:r>
                        <a:rPr lang="en-CA" sz="1100" b="0" i="1">
                          <a:latin typeface="Cambria Math" panose="02040503050406030204" pitchFamily="18" charset="0"/>
                        </a:rPr>
                        <m:t>𝐶</m:t>
                      </m:r>
                    </m:e>
                    <m:sub>
                      <m:r>
                        <a:rPr lang="en-CA" sz="1100" b="0" i="1">
                          <a:latin typeface="Cambria Math" panose="02040503050406030204" pitchFamily="18" charset="0"/>
                        </a:rPr>
                        <m:t>𝑃</m:t>
                      </m:r>
                    </m:sub>
                  </m:sSub>
                </m:oMath>
              </a14:m>
              <a:r>
                <a:rPr lang="en-CA" sz="1100"/>
                <a:t> = a + bT + cT^2 + dT^4</a:t>
              </a:r>
            </a:p>
          </xdr:txBody>
        </xdr:sp>
      </mc:Choice>
      <mc:Fallback xmlns="">
        <xdr:sp macro="" textlink="">
          <xdr:nvSpPr>
            <xdr:cNvPr id="2" name="TextBox 1"/>
            <xdr:cNvSpPr txBox="1"/>
          </xdr:nvSpPr>
          <xdr:spPr>
            <a:xfrm>
              <a:off x="3943350" y="447675"/>
              <a:ext cx="20574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CA" sz="1100" b="0" i="0">
                  <a:latin typeface="Cambria Math" panose="02040503050406030204" pitchFamily="18" charset="0"/>
                </a:rPr>
                <a:t>𝐶_𝑃</a:t>
              </a:r>
              <a:r>
                <a:rPr lang="en-CA" sz="1100"/>
                <a:t> = a + bT + cT^2 + dT^4</a:t>
              </a: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4</xdr:col>
      <xdr:colOff>533400</xdr:colOff>
      <xdr:row>2</xdr:row>
      <xdr:rowOff>47625</xdr:rowOff>
    </xdr:from>
    <xdr:ext cx="2057400" cy="172227"/>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3943350" y="447675"/>
              <a:ext cx="20574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sSub>
                    <m:sSubPr>
                      <m:ctrlPr>
                        <a:rPr lang="en-CA" sz="1100" i="1">
                          <a:latin typeface="Cambria Math" panose="02040503050406030204" pitchFamily="18" charset="0"/>
                        </a:rPr>
                      </m:ctrlPr>
                    </m:sSubPr>
                    <m:e>
                      <m:r>
                        <a:rPr lang="en-CA" sz="1100" b="0" i="1">
                          <a:latin typeface="Cambria Math" panose="02040503050406030204" pitchFamily="18" charset="0"/>
                        </a:rPr>
                        <m:t>𝐶</m:t>
                      </m:r>
                    </m:e>
                    <m:sub>
                      <m:r>
                        <a:rPr lang="en-CA" sz="1100" b="0" i="1">
                          <a:latin typeface="Cambria Math" panose="02040503050406030204" pitchFamily="18" charset="0"/>
                        </a:rPr>
                        <m:t>𝑃</m:t>
                      </m:r>
                    </m:sub>
                  </m:sSub>
                </m:oMath>
              </a14:m>
              <a:r>
                <a:rPr lang="en-CA" sz="1100"/>
                <a:t> = a + bT + cT^2 + dT^4</a:t>
              </a:r>
            </a:p>
          </xdr:txBody>
        </xdr:sp>
      </mc:Choice>
      <mc:Fallback xmlns="">
        <xdr:sp macro="" textlink="">
          <xdr:nvSpPr>
            <xdr:cNvPr id="2" name="TextBox 1"/>
            <xdr:cNvSpPr txBox="1"/>
          </xdr:nvSpPr>
          <xdr:spPr>
            <a:xfrm>
              <a:off x="3943350" y="447675"/>
              <a:ext cx="20574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CA" sz="1100" b="0" i="0">
                  <a:latin typeface="Cambria Math" panose="02040503050406030204" pitchFamily="18" charset="0"/>
                </a:rPr>
                <a:t>𝐶_𝑃</a:t>
              </a:r>
              <a:r>
                <a:rPr lang="en-CA" sz="1100"/>
                <a:t> = a + bT + cT^2 + dT^4</a:t>
              </a: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oneCellAnchor>
    <xdr:from>
      <xdr:col>4</xdr:col>
      <xdr:colOff>533400</xdr:colOff>
      <xdr:row>2</xdr:row>
      <xdr:rowOff>47625</xdr:rowOff>
    </xdr:from>
    <xdr:ext cx="2057400" cy="172227"/>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3943350" y="447675"/>
              <a:ext cx="20574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sSub>
                    <m:sSubPr>
                      <m:ctrlPr>
                        <a:rPr lang="en-CA" sz="1100" i="1">
                          <a:latin typeface="Cambria Math" panose="02040503050406030204" pitchFamily="18" charset="0"/>
                        </a:rPr>
                      </m:ctrlPr>
                    </m:sSubPr>
                    <m:e>
                      <m:r>
                        <a:rPr lang="en-CA" sz="1100" b="0" i="1">
                          <a:latin typeface="Cambria Math" panose="02040503050406030204" pitchFamily="18" charset="0"/>
                        </a:rPr>
                        <m:t>𝐶</m:t>
                      </m:r>
                    </m:e>
                    <m:sub>
                      <m:r>
                        <a:rPr lang="en-CA" sz="1100" b="0" i="1">
                          <a:latin typeface="Cambria Math" panose="02040503050406030204" pitchFamily="18" charset="0"/>
                        </a:rPr>
                        <m:t>𝑃</m:t>
                      </m:r>
                    </m:sub>
                  </m:sSub>
                </m:oMath>
              </a14:m>
              <a:r>
                <a:rPr lang="en-CA" sz="1100"/>
                <a:t> = a + bT + cT^2 + dT^4</a:t>
              </a:r>
            </a:p>
          </xdr:txBody>
        </xdr:sp>
      </mc:Choice>
      <mc:Fallback xmlns="">
        <xdr:sp macro="" textlink="">
          <xdr:nvSpPr>
            <xdr:cNvPr id="2" name="TextBox 1"/>
            <xdr:cNvSpPr txBox="1"/>
          </xdr:nvSpPr>
          <xdr:spPr>
            <a:xfrm>
              <a:off x="3943350" y="447675"/>
              <a:ext cx="20574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CA" sz="1100" b="0" i="0">
                  <a:latin typeface="Cambria Math" panose="02040503050406030204" pitchFamily="18" charset="0"/>
                </a:rPr>
                <a:t>𝐶_𝑃</a:t>
              </a:r>
              <a:r>
                <a:rPr lang="en-CA" sz="1100"/>
                <a:t> = a + bT + cT^2 + dT^4</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31</xdr:col>
      <xdr:colOff>518590</xdr:colOff>
      <xdr:row>0</xdr:row>
      <xdr:rowOff>173530</xdr:rowOff>
    </xdr:from>
    <xdr:to>
      <xdr:col>37</xdr:col>
      <xdr:colOff>55000</xdr:colOff>
      <xdr:row>3</xdr:row>
      <xdr:rowOff>41016</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
        <a:stretch>
          <a:fillRect/>
        </a:stretch>
      </xdr:blipFill>
      <xdr:spPr>
        <a:xfrm>
          <a:off x="30209376" y="173530"/>
          <a:ext cx="4734338" cy="479807"/>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37</xdr:col>
      <xdr:colOff>158481</xdr:colOff>
      <xdr:row>0</xdr:row>
      <xdr:rowOff>0</xdr:rowOff>
    </xdr:from>
    <xdr:to>
      <xdr:col>41</xdr:col>
      <xdr:colOff>54730</xdr:colOff>
      <xdr:row>2</xdr:row>
      <xdr:rowOff>53011</xdr:rowOff>
    </xdr:to>
    <xdr:pic>
      <xdr:nvPicPr>
        <xdr:cNvPr id="14" name="Pictur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2"/>
        <a:stretch>
          <a:fillRect/>
        </a:stretch>
      </xdr:blipFill>
      <xdr:spPr>
        <a:xfrm>
          <a:off x="35047195" y="0"/>
          <a:ext cx="3270821" cy="4612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33</xdr:col>
      <xdr:colOff>784413</xdr:colOff>
      <xdr:row>10</xdr:row>
      <xdr:rowOff>89646</xdr:rowOff>
    </xdr:from>
    <xdr:to>
      <xdr:col>39</xdr:col>
      <xdr:colOff>768972</xdr:colOff>
      <xdr:row>39</xdr:row>
      <xdr:rowOff>15145</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31903148" y="2129117"/>
          <a:ext cx="5172883" cy="5774969"/>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59</xdr:col>
      <xdr:colOff>235323</xdr:colOff>
      <xdr:row>0</xdr:row>
      <xdr:rowOff>168088</xdr:rowOff>
    </xdr:from>
    <xdr:to>
      <xdr:col>64</xdr:col>
      <xdr:colOff>751445</xdr:colOff>
      <xdr:row>3</xdr:row>
      <xdr:rowOff>35574</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54124411" y="168088"/>
          <a:ext cx="4718328" cy="48381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252</xdr:col>
      <xdr:colOff>358588</xdr:colOff>
      <xdr:row>0</xdr:row>
      <xdr:rowOff>112059</xdr:rowOff>
    </xdr:from>
    <xdr:to>
      <xdr:col>258</xdr:col>
      <xdr:colOff>34270</xdr:colOff>
      <xdr:row>2</xdr:row>
      <xdr:rowOff>192457</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stretch>
          <a:fillRect/>
        </a:stretch>
      </xdr:blipFill>
      <xdr:spPr>
        <a:xfrm>
          <a:off x="76603412" y="112059"/>
          <a:ext cx="4718329" cy="48381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0</xdr:col>
      <xdr:colOff>40822</xdr:colOff>
      <xdr:row>1</xdr:row>
      <xdr:rowOff>108857</xdr:rowOff>
    </xdr:from>
    <xdr:to>
      <xdr:col>5</xdr:col>
      <xdr:colOff>598714</xdr:colOff>
      <xdr:row>7</xdr:row>
      <xdr:rowOff>13607</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40822" y="312964"/>
          <a:ext cx="4993821" cy="1129393"/>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endParaRPr lang="en-CA" sz="1100" b="0" i="0" u="none" strike="noStrike" baseline="0">
            <a:solidFill>
              <a:schemeClr val="dk1"/>
            </a:solidFill>
            <a:latin typeface="+mn-lt"/>
            <a:ea typeface="+mn-ea"/>
            <a:cs typeface="+mn-cs"/>
          </a:endParaRPr>
        </a:p>
        <a:p>
          <a:r>
            <a:rPr lang="en-CA" sz="1300" b="0" i="0" u="none" strike="noStrike" baseline="0">
              <a:solidFill>
                <a:schemeClr val="dk1"/>
              </a:solidFill>
              <a:latin typeface="+mn-lt"/>
              <a:ea typeface="+mn-ea"/>
              <a:cs typeface="+mn-cs"/>
            </a:rPr>
            <a:t>Given the tank pressure, a specified constant operating temperature, the feed composition and flowrate, it can calculate the vapour and liquid product compositions and flowrates, as well as heat to maintain the operating temperature as specified. </a:t>
          </a:r>
        </a:p>
        <a:p>
          <a:endParaRPr lang="en-CA" sz="1100"/>
        </a:p>
      </xdr:txBody>
    </xdr:sp>
    <xdr:clientData/>
  </xdr:twoCellAnchor>
  <xdr:twoCellAnchor>
    <xdr:from>
      <xdr:col>54</xdr:col>
      <xdr:colOff>56030</xdr:colOff>
      <xdr:row>0</xdr:row>
      <xdr:rowOff>78441</xdr:rowOff>
    </xdr:from>
    <xdr:to>
      <xdr:col>58</xdr:col>
      <xdr:colOff>302559</xdr:colOff>
      <xdr:row>3</xdr:row>
      <xdr:rowOff>89647</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49742912" y="78441"/>
          <a:ext cx="3608294" cy="62753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CA" sz="1100"/>
            <a:t>REMAINDER OF THE</a:t>
          </a:r>
          <a:r>
            <a:rPr lang="en-CA" sz="1100" baseline="0"/>
            <a:t> CELLS INVOLVED IN THE ITERATION ARE HIDDEN.</a:t>
          </a:r>
          <a:endParaRPr lang="en-CA"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152400</xdr:colOff>
      <xdr:row>0</xdr:row>
      <xdr:rowOff>139700</xdr:rowOff>
    </xdr:from>
    <xdr:to>
      <xdr:col>6</xdr:col>
      <xdr:colOff>181783</xdr:colOff>
      <xdr:row>29</xdr:row>
      <xdr:rowOff>113944</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2400" y="139700"/>
          <a:ext cx="4982383" cy="586704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6</xdr:col>
      <xdr:colOff>419100</xdr:colOff>
      <xdr:row>0</xdr:row>
      <xdr:rowOff>165100</xdr:rowOff>
    </xdr:from>
    <xdr:to>
      <xdr:col>13</xdr:col>
      <xdr:colOff>639664</xdr:colOff>
      <xdr:row>3</xdr:row>
      <xdr:rowOff>177610</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5372100" y="165100"/>
          <a:ext cx="5999064" cy="62211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6</xdr:col>
      <xdr:colOff>419100</xdr:colOff>
      <xdr:row>4</xdr:row>
      <xdr:rowOff>165100</xdr:rowOff>
    </xdr:from>
    <xdr:to>
      <xdr:col>11</xdr:col>
      <xdr:colOff>445580</xdr:colOff>
      <xdr:row>8</xdr:row>
      <xdr:rowOff>83807</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stretch>
          <a:fillRect/>
        </a:stretch>
      </xdr:blipFill>
      <xdr:spPr>
        <a:xfrm>
          <a:off x="5372100" y="977900"/>
          <a:ext cx="4153980" cy="731507"/>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6</xdr:col>
      <xdr:colOff>419100</xdr:colOff>
      <xdr:row>9</xdr:row>
      <xdr:rowOff>101600</xdr:rowOff>
    </xdr:from>
    <xdr:to>
      <xdr:col>11</xdr:col>
      <xdr:colOff>458717</xdr:colOff>
      <xdr:row>13</xdr:row>
      <xdr:rowOff>58408</xdr:rowOff>
    </xdr:to>
    <xdr:pic>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4"/>
        <a:stretch>
          <a:fillRect/>
        </a:stretch>
      </xdr:blipFill>
      <xdr:spPr>
        <a:xfrm>
          <a:off x="5372100" y="1930400"/>
          <a:ext cx="4167117" cy="769608"/>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6</xdr:col>
      <xdr:colOff>444500</xdr:colOff>
      <xdr:row>14</xdr:row>
      <xdr:rowOff>76200</xdr:rowOff>
    </xdr:from>
    <xdr:to>
      <xdr:col>13</xdr:col>
      <xdr:colOff>604776</xdr:colOff>
      <xdr:row>19</xdr:row>
      <xdr:rowOff>164595</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5"/>
        <a:stretch>
          <a:fillRect/>
        </a:stretch>
      </xdr:blipFill>
      <xdr:spPr>
        <a:xfrm>
          <a:off x="5397500" y="2921000"/>
          <a:ext cx="5938776" cy="110439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11</xdr:col>
      <xdr:colOff>812800</xdr:colOff>
      <xdr:row>4</xdr:row>
      <xdr:rowOff>190500</xdr:rowOff>
    </xdr:from>
    <xdr:to>
      <xdr:col>13</xdr:col>
      <xdr:colOff>317571</xdr:colOff>
      <xdr:row>8</xdr:row>
      <xdr:rowOff>20386</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6"/>
        <a:stretch>
          <a:fillRect/>
        </a:stretch>
      </xdr:blipFill>
      <xdr:spPr>
        <a:xfrm>
          <a:off x="9893300" y="1003300"/>
          <a:ext cx="1155771" cy="642686"/>
        </a:xfrm>
        <a:prstGeom prst="rect">
          <a:avLst/>
        </a:prstGeom>
        <a:ln w="38100" cap="sq">
          <a:solidFill>
            <a:srgbClr val="FF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12</xdr:col>
      <xdr:colOff>25400</xdr:colOff>
      <xdr:row>9</xdr:row>
      <xdr:rowOff>165100</xdr:rowOff>
    </xdr:from>
    <xdr:to>
      <xdr:col>13</xdr:col>
      <xdr:colOff>277607</xdr:colOff>
      <xdr:row>13</xdr:row>
      <xdr:rowOff>26613</xdr:rowOff>
    </xdr:to>
    <xdr:pic>
      <xdr:nvPicPr>
        <xdr:cNvPr id="8" name="Picture 7">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7"/>
        <a:stretch>
          <a:fillRect/>
        </a:stretch>
      </xdr:blipFill>
      <xdr:spPr>
        <a:xfrm>
          <a:off x="9931400" y="1993900"/>
          <a:ext cx="1077707" cy="674313"/>
        </a:xfrm>
        <a:prstGeom prst="rect">
          <a:avLst/>
        </a:prstGeom>
        <a:ln w="38100" cap="sq">
          <a:solidFill>
            <a:srgbClr val="FF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13</xdr:col>
      <xdr:colOff>571500</xdr:colOff>
      <xdr:row>4</xdr:row>
      <xdr:rowOff>190500</xdr:rowOff>
    </xdr:from>
    <xdr:to>
      <xdr:col>15</xdr:col>
      <xdr:colOff>733943</xdr:colOff>
      <xdr:row>7</xdr:row>
      <xdr:rowOff>160114</xdr:rowOff>
    </xdr:to>
    <xdr:pic>
      <xdr:nvPicPr>
        <xdr:cNvPr id="9" name="Picture 8">
          <a:extLst>
            <a:ext uri="{FF2B5EF4-FFF2-40B4-BE49-F238E27FC236}">
              <a16:creationId xmlns:a16="http://schemas.microsoft.com/office/drawing/2014/main" id="{00000000-0008-0000-0D00-000009000000}"/>
            </a:ext>
          </a:extLst>
        </xdr:cNvPr>
        <xdr:cNvPicPr>
          <a:picLocks noChangeAspect="1"/>
        </xdr:cNvPicPr>
      </xdr:nvPicPr>
      <xdr:blipFill>
        <a:blip xmlns:r="http://schemas.openxmlformats.org/officeDocument/2006/relationships" r:embed="rId8"/>
        <a:stretch>
          <a:fillRect/>
        </a:stretch>
      </xdr:blipFill>
      <xdr:spPr>
        <a:xfrm>
          <a:off x="11303000" y="1003300"/>
          <a:ext cx="1813443" cy="579214"/>
        </a:xfrm>
        <a:prstGeom prst="rect">
          <a:avLst/>
        </a:prstGeom>
        <a:ln>
          <a:solidFill>
            <a:srgbClr val="FF0000"/>
          </a:solidFill>
        </a:ln>
      </xdr:spPr>
    </xdr:pic>
    <xdr:clientData/>
  </xdr:twoCellAnchor>
  <xdr:twoCellAnchor editAs="oneCell">
    <xdr:from>
      <xdr:col>13</xdr:col>
      <xdr:colOff>609600</xdr:colOff>
      <xdr:row>10</xdr:row>
      <xdr:rowOff>12700</xdr:rowOff>
    </xdr:from>
    <xdr:to>
      <xdr:col>20</xdr:col>
      <xdr:colOff>327598</xdr:colOff>
      <xdr:row>12</xdr:row>
      <xdr:rowOff>75332</xdr:rowOff>
    </xdr:to>
    <xdr:pic>
      <xdr:nvPicPr>
        <xdr:cNvPr id="10" name="Picture 9">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9"/>
        <a:stretch>
          <a:fillRect/>
        </a:stretch>
      </xdr:blipFill>
      <xdr:spPr>
        <a:xfrm>
          <a:off x="11341100" y="2044700"/>
          <a:ext cx="5496498" cy="469032"/>
        </a:xfrm>
        <a:prstGeom prst="rect">
          <a:avLst/>
        </a:prstGeom>
        <a:ln>
          <a:solidFill>
            <a:srgbClr val="FF0000"/>
          </a:solid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S36"/>
  <sheetViews>
    <sheetView zoomScale="150" zoomScaleNormal="150" zoomScalePageLayoutView="150" workbookViewId="0">
      <selection activeCell="C7" sqref="C7"/>
    </sheetView>
  </sheetViews>
  <sheetFormatPr defaultColWidth="11" defaultRowHeight="15.6"/>
  <cols>
    <col min="1" max="1" width="16.69921875" customWidth="1"/>
    <col min="4" max="4" width="21.3984375" customWidth="1"/>
    <col min="5" max="5" width="17.19921875" customWidth="1"/>
    <col min="6" max="7" width="12.19921875" customWidth="1"/>
    <col min="8" max="8" width="9.69921875" customWidth="1"/>
    <col min="9" max="9" width="12.19921875" customWidth="1"/>
    <col min="10" max="10" width="14" customWidth="1"/>
    <col min="11" max="11" width="9.69921875" customWidth="1"/>
    <col min="12" max="12" width="10.19921875" customWidth="1"/>
    <col min="13" max="13" width="2" customWidth="1"/>
    <col min="14" max="14" width="25" customWidth="1"/>
    <col min="15" max="15" width="14" customWidth="1"/>
    <col min="16" max="16" width="9" customWidth="1"/>
    <col min="17" max="17" width="25.296875" customWidth="1"/>
    <col min="18" max="18" width="17.69921875" customWidth="1"/>
  </cols>
  <sheetData>
    <row r="1" spans="1:19">
      <c r="A1" s="143" t="s">
        <v>0</v>
      </c>
      <c r="B1" s="143"/>
      <c r="C1" s="143"/>
      <c r="F1" s="14"/>
      <c r="G1" s="14"/>
      <c r="H1" s="14"/>
      <c r="I1" s="14"/>
      <c r="J1" s="14"/>
      <c r="K1" s="14"/>
      <c r="N1" s="130" t="s">
        <v>1</v>
      </c>
      <c r="O1" s="123"/>
      <c r="P1" s="131"/>
      <c r="Q1" s="123" t="s">
        <v>2</v>
      </c>
      <c r="R1" s="123"/>
      <c r="S1" s="124"/>
    </row>
    <row r="2" spans="1:19">
      <c r="A2" s="2" t="s">
        <v>3</v>
      </c>
      <c r="B2" s="2" t="s">
        <v>4</v>
      </c>
      <c r="C2" s="2" t="s">
        <v>5</v>
      </c>
      <c r="N2" s="16" t="s">
        <v>6</v>
      </c>
      <c r="O2" s="16" t="s">
        <v>4</v>
      </c>
      <c r="P2" s="39" t="s">
        <v>5</v>
      </c>
      <c r="Q2" s="33" t="s">
        <v>6</v>
      </c>
      <c r="R2" s="16" t="s">
        <v>4</v>
      </c>
      <c r="S2" s="16" t="s">
        <v>5</v>
      </c>
    </row>
    <row r="3" spans="1:19">
      <c r="A3" s="1" t="s">
        <v>7</v>
      </c>
      <c r="B3" s="3">
        <v>100</v>
      </c>
      <c r="C3" s="109" t="s">
        <v>8</v>
      </c>
      <c r="N3" s="18" t="s">
        <v>9</v>
      </c>
      <c r="O3" s="20" t="e">
        <f ca="1">H7*B3</f>
        <v>#NAME?</v>
      </c>
      <c r="P3" s="112" t="s">
        <v>10</v>
      </c>
      <c r="Q3" s="34" t="s">
        <v>9</v>
      </c>
      <c r="R3" s="20" t="e">
        <f ca="1">K6*E3</f>
        <v>#NAME?</v>
      </c>
      <c r="S3" s="109" t="s">
        <v>10</v>
      </c>
    </row>
    <row r="4" spans="1:19">
      <c r="A4" s="1" t="s">
        <v>11</v>
      </c>
      <c r="B4" s="3">
        <v>320</v>
      </c>
      <c r="C4" s="109" t="s">
        <v>12</v>
      </c>
      <c r="D4" s="121" t="s">
        <v>13</v>
      </c>
      <c r="E4" s="122"/>
      <c r="F4" s="122"/>
      <c r="G4" s="122"/>
      <c r="H4" s="122"/>
      <c r="I4" s="122"/>
      <c r="J4" s="108"/>
      <c r="K4" s="9"/>
      <c r="N4" s="19" t="s">
        <v>14</v>
      </c>
      <c r="O4" s="17" t="e">
        <f ca="1">B3-O3</f>
        <v>#NAME?</v>
      </c>
      <c r="P4" s="40" t="s">
        <v>10</v>
      </c>
      <c r="Q4" s="35" t="s">
        <v>14</v>
      </c>
      <c r="R4" s="17" t="e">
        <f ca="1">E3-R3</f>
        <v>#NAME?</v>
      </c>
      <c r="S4" s="21" t="s">
        <v>10</v>
      </c>
    </row>
    <row r="5" spans="1:19">
      <c r="A5" s="1" t="s">
        <v>15</v>
      </c>
      <c r="B5" s="3">
        <v>101</v>
      </c>
      <c r="C5" s="109" t="s">
        <v>16</v>
      </c>
      <c r="D5" s="115" t="s">
        <v>17</v>
      </c>
      <c r="E5" s="115" t="s">
        <v>18</v>
      </c>
      <c r="F5" s="115" t="s">
        <v>19</v>
      </c>
      <c r="G5" s="115" t="s">
        <v>20</v>
      </c>
      <c r="H5" s="115" t="s">
        <v>21</v>
      </c>
      <c r="I5" s="115" t="s">
        <v>22</v>
      </c>
      <c r="J5" s="115" t="s">
        <v>23</v>
      </c>
      <c r="K5" s="115" t="s">
        <v>24</v>
      </c>
      <c r="L5" s="115" t="s">
        <v>25</v>
      </c>
      <c r="N5" s="23" t="s">
        <v>26</v>
      </c>
      <c r="O5" s="17" t="e">
        <f ca="1">X_i(F6,B6,$H$7)</f>
        <v>#NAME?</v>
      </c>
      <c r="P5" s="41" t="s">
        <v>27</v>
      </c>
      <c r="Q5" s="36" t="s">
        <v>26</v>
      </c>
      <c r="R5" s="17" t="e">
        <f t="shared" ref="R5:R10" ca="1" si="0">X_i(G6,B6,$H$10)</f>
        <v>#NAME?</v>
      </c>
      <c r="S5" s="15" t="s">
        <v>27</v>
      </c>
    </row>
    <row r="6" spans="1:19">
      <c r="A6" s="6" t="s">
        <v>28</v>
      </c>
      <c r="B6" s="3">
        <v>0.2</v>
      </c>
      <c r="C6" s="109" t="s">
        <v>27</v>
      </c>
      <c r="D6" t="e">
        <f ca="1">wagnerC($B$4,B19:F19)/1000</f>
        <v>#NAME?</v>
      </c>
      <c r="E6" t="e">
        <f t="shared" ref="E6:E11" ca="1" si="1">Antoines($B$4,I19:K19)*100</f>
        <v>#NAME?</v>
      </c>
      <c r="F6" t="e">
        <f t="shared" ref="F6:F11" ca="1" si="2">E6/$B$5</f>
        <v>#NAME?</v>
      </c>
      <c r="G6" t="e">
        <f t="shared" ref="G6:G11" ca="1" si="3">wilson(C30,$B$5,B30,$B$4,E30)</f>
        <v>#NAME?</v>
      </c>
      <c r="H6" s="31" t="s">
        <v>29</v>
      </c>
      <c r="I6" t="e">
        <f t="shared" ref="I6:I11" ca="1" si="4">RRE(F6,B6,$H$7)</f>
        <v>#NAME?</v>
      </c>
      <c r="J6" t="e">
        <f t="shared" ref="J6:J11" ca="1" si="5">RRE(G6,B6,$H$10)</f>
        <v>#NAME?</v>
      </c>
      <c r="K6" t="e">
        <f t="shared" ref="K6:K11" ca="1" si="6">B6*D6</f>
        <v>#NAME?</v>
      </c>
      <c r="L6" t="e">
        <f t="shared" ref="L6:L11" ca="1" si="7">B6/D6</f>
        <v>#NAME?</v>
      </c>
      <c r="N6" s="23" t="s">
        <v>30</v>
      </c>
      <c r="O6" s="17" t="e">
        <f t="shared" ref="O6:O10" ca="1" si="8">X_i(F7,B7,$H$7)</f>
        <v>#NAME?</v>
      </c>
      <c r="P6" s="41" t="s">
        <v>27</v>
      </c>
      <c r="Q6" s="36" t="s">
        <v>30</v>
      </c>
      <c r="R6" s="17" t="e">
        <f t="shared" ca="1" si="0"/>
        <v>#NAME?</v>
      </c>
      <c r="S6" s="15" t="s">
        <v>27</v>
      </c>
    </row>
    <row r="7" spans="1:19">
      <c r="A7" s="6" t="s">
        <v>31</v>
      </c>
      <c r="B7" s="3">
        <v>0.2</v>
      </c>
      <c r="C7" s="109" t="s">
        <v>27</v>
      </c>
      <c r="D7" t="e">
        <f ca="1">wagnerC($B$4,B20:F20)/1000</f>
        <v>#NAME?</v>
      </c>
      <c r="E7" t="e">
        <f t="shared" ca="1" si="1"/>
        <v>#NAME?</v>
      </c>
      <c r="F7" t="e">
        <f t="shared" ca="1" si="2"/>
        <v>#NAME?</v>
      </c>
      <c r="G7" t="e">
        <f t="shared" ca="1" si="3"/>
        <v>#NAME?</v>
      </c>
      <c r="H7" s="128" t="e">
        <f ca="1">solveR(F6:F11,B6:B11,6)</f>
        <v>#NAME?</v>
      </c>
      <c r="I7" t="e">
        <f t="shared" ca="1" si="4"/>
        <v>#NAME?</v>
      </c>
      <c r="J7" t="e">
        <f t="shared" ca="1" si="5"/>
        <v>#NAME?</v>
      </c>
      <c r="K7" t="e">
        <f t="shared" ca="1" si="6"/>
        <v>#NAME?</v>
      </c>
      <c r="L7" t="e">
        <f t="shared" ca="1" si="7"/>
        <v>#NAME?</v>
      </c>
      <c r="N7" s="23" t="s">
        <v>32</v>
      </c>
      <c r="O7" s="17" t="e">
        <f t="shared" ca="1" si="8"/>
        <v>#NAME?</v>
      </c>
      <c r="P7" s="41" t="s">
        <v>27</v>
      </c>
      <c r="Q7" s="36" t="s">
        <v>32</v>
      </c>
      <c r="R7" s="17" t="e">
        <f t="shared" ca="1" si="0"/>
        <v>#NAME?</v>
      </c>
      <c r="S7" s="15" t="s">
        <v>27</v>
      </c>
    </row>
    <row r="8" spans="1:19">
      <c r="A8" s="6" t="s">
        <v>33</v>
      </c>
      <c r="B8" s="3">
        <v>0.2</v>
      </c>
      <c r="C8" s="109" t="s">
        <v>27</v>
      </c>
      <c r="D8" t="e">
        <f t="shared" ref="D6:D11" ca="1" si="9">wagnerC($B$4,B21:F21)/1000</f>
        <v>#NAME?</v>
      </c>
      <c r="E8" t="e">
        <f t="shared" ca="1" si="1"/>
        <v>#NAME?</v>
      </c>
      <c r="F8" t="e">
        <f t="shared" ca="1" si="2"/>
        <v>#NAME?</v>
      </c>
      <c r="G8" t="e">
        <f t="shared" ca="1" si="3"/>
        <v>#NAME?</v>
      </c>
      <c r="H8" s="128"/>
      <c r="I8" t="e">
        <f t="shared" ca="1" si="4"/>
        <v>#NAME?</v>
      </c>
      <c r="J8" t="e">
        <f t="shared" ca="1" si="5"/>
        <v>#NAME?</v>
      </c>
      <c r="K8" t="e">
        <f t="shared" ca="1" si="6"/>
        <v>#NAME?</v>
      </c>
      <c r="L8" t="e">
        <f t="shared" ca="1" si="7"/>
        <v>#NAME?</v>
      </c>
      <c r="N8" s="23" t="s">
        <v>34</v>
      </c>
      <c r="O8" s="17" t="e">
        <f t="shared" ca="1" si="8"/>
        <v>#NAME?</v>
      </c>
      <c r="P8" s="41" t="s">
        <v>27</v>
      </c>
      <c r="Q8" s="36" t="s">
        <v>34</v>
      </c>
      <c r="R8" s="17" t="e">
        <f t="shared" ca="1" si="0"/>
        <v>#NAME?</v>
      </c>
      <c r="S8" s="15" t="s">
        <v>27</v>
      </c>
    </row>
    <row r="9" spans="1:19">
      <c r="A9" s="6" t="s">
        <v>35</v>
      </c>
      <c r="B9" s="3">
        <v>0.2</v>
      </c>
      <c r="C9" s="109" t="s">
        <v>27</v>
      </c>
      <c r="D9" t="e">
        <f t="shared" ca="1" si="9"/>
        <v>#NAME?</v>
      </c>
      <c r="E9" t="e">
        <f t="shared" ca="1" si="1"/>
        <v>#NAME?</v>
      </c>
      <c r="F9" t="e">
        <f t="shared" ca="1" si="2"/>
        <v>#NAME?</v>
      </c>
      <c r="G9" t="e">
        <f t="shared" ca="1" si="3"/>
        <v>#NAME?</v>
      </c>
      <c r="H9" s="31" t="s">
        <v>36</v>
      </c>
      <c r="I9" t="e">
        <f t="shared" ca="1" si="4"/>
        <v>#NAME?</v>
      </c>
      <c r="J9" t="e">
        <f t="shared" ca="1" si="5"/>
        <v>#NAME?</v>
      </c>
      <c r="K9" t="e">
        <f t="shared" ca="1" si="6"/>
        <v>#NAME?</v>
      </c>
      <c r="L9" t="e">
        <f t="shared" ca="1" si="7"/>
        <v>#NAME?</v>
      </c>
      <c r="N9" s="23" t="s">
        <v>37</v>
      </c>
      <c r="O9" s="17" t="e">
        <f t="shared" ca="1" si="8"/>
        <v>#NAME?</v>
      </c>
      <c r="P9" s="41" t="s">
        <v>27</v>
      </c>
      <c r="Q9" s="36" t="s">
        <v>37</v>
      </c>
      <c r="R9" s="17" t="e">
        <f t="shared" ca="1" si="0"/>
        <v>#NAME?</v>
      </c>
      <c r="S9" s="15" t="s">
        <v>27</v>
      </c>
    </row>
    <row r="10" spans="1:19">
      <c r="A10" s="6" t="s">
        <v>38</v>
      </c>
      <c r="B10" s="3">
        <v>0.1</v>
      </c>
      <c r="C10" s="109" t="s">
        <v>27</v>
      </c>
      <c r="D10" t="e">
        <f t="shared" ca="1" si="9"/>
        <v>#NAME?</v>
      </c>
      <c r="E10" t="e">
        <f t="shared" ca="1" si="1"/>
        <v>#NAME?</v>
      </c>
      <c r="F10" t="e">
        <f t="shared" ca="1" si="2"/>
        <v>#NAME?</v>
      </c>
      <c r="G10" t="e">
        <f t="shared" ca="1" si="3"/>
        <v>#NAME?</v>
      </c>
      <c r="H10" s="128">
        <v>0.31659023933349489</v>
      </c>
      <c r="I10" t="e">
        <f t="shared" ca="1" si="4"/>
        <v>#NAME?</v>
      </c>
      <c r="J10" t="e">
        <f t="shared" ca="1" si="5"/>
        <v>#NAME?</v>
      </c>
      <c r="K10" t="e">
        <f t="shared" ca="1" si="6"/>
        <v>#NAME?</v>
      </c>
      <c r="L10" t="e">
        <f t="shared" ca="1" si="7"/>
        <v>#NAME?</v>
      </c>
      <c r="N10" s="23" t="s">
        <v>39</v>
      </c>
      <c r="O10" s="17" t="e">
        <f t="shared" ca="1" si="8"/>
        <v>#NAME?</v>
      </c>
      <c r="P10" s="41" t="s">
        <v>27</v>
      </c>
      <c r="Q10" s="36" t="s">
        <v>39</v>
      </c>
      <c r="R10" s="17" t="e">
        <f t="shared" ca="1" si="0"/>
        <v>#NAME?</v>
      </c>
      <c r="S10" s="15" t="s">
        <v>27</v>
      </c>
    </row>
    <row r="11" spans="1:19" ht="16.2" thickBot="1">
      <c r="A11" s="6" t="s">
        <v>40</v>
      </c>
      <c r="B11" s="3">
        <f>1-SUM(B6:B10)</f>
        <v>9.9999999999999978E-2</v>
      </c>
      <c r="C11" s="109" t="s">
        <v>27</v>
      </c>
      <c r="D11" t="e">
        <f t="shared" ca="1" si="9"/>
        <v>#NAME?</v>
      </c>
      <c r="E11" t="e">
        <f t="shared" ca="1" si="1"/>
        <v>#NAME?</v>
      </c>
      <c r="F11" t="e">
        <f t="shared" ca="1" si="2"/>
        <v>#NAME?</v>
      </c>
      <c r="G11" t="e">
        <f t="shared" ca="1" si="3"/>
        <v>#NAME?</v>
      </c>
      <c r="H11" s="129"/>
      <c r="I11" t="e">
        <f t="shared" ca="1" si="4"/>
        <v>#NAME?</v>
      </c>
      <c r="J11" t="e">
        <f t="shared" ca="1" si="5"/>
        <v>#NAME?</v>
      </c>
      <c r="K11" t="e">
        <f t="shared" ca="1" si="6"/>
        <v>#NAME?</v>
      </c>
      <c r="L11" t="e">
        <f t="shared" ca="1" si="7"/>
        <v>#NAME?</v>
      </c>
      <c r="N11" s="22" t="s">
        <v>41</v>
      </c>
      <c r="O11" s="17" t="e">
        <f t="shared" ref="O11:O16" ca="1" si="10">y_i(F6,B6,$H$7)</f>
        <v>#NAME?</v>
      </c>
      <c r="P11" s="41" t="s">
        <v>27</v>
      </c>
      <c r="Q11" s="37" t="s">
        <v>41</v>
      </c>
      <c r="R11" s="17" t="e">
        <f t="shared" ref="R11:R16" ca="1" si="11">y_i(G6,B6,$H$10)</f>
        <v>#NAME?</v>
      </c>
      <c r="S11" s="15" t="s">
        <v>27</v>
      </c>
    </row>
    <row r="12" spans="1:19" ht="16.8" thickTop="1" thickBot="1">
      <c r="A12" s="4" t="s">
        <v>42</v>
      </c>
      <c r="B12" s="3">
        <v>320</v>
      </c>
      <c r="C12" s="116" t="s">
        <v>12</v>
      </c>
      <c r="D12" s="7" t="e">
        <f ca="1">SUM(D6:D11)</f>
        <v>#NAME?</v>
      </c>
      <c r="E12" s="7" t="e">
        <f ca="1">SUM(E6:E11)</f>
        <v>#NAME?</v>
      </c>
      <c r="F12" s="7" t="e">
        <f ca="1">SUM(F6:F11)</f>
        <v>#NAME?</v>
      </c>
      <c r="G12" s="7" t="e">
        <f ca="1">SUM(G6:G11)</f>
        <v>#NAME?</v>
      </c>
      <c r="H12" s="30" t="s">
        <v>27</v>
      </c>
      <c r="I12" s="32" t="e">
        <f ca="1">SUM(I6:I11)</f>
        <v>#NAME?</v>
      </c>
      <c r="J12" s="32" t="e">
        <f ca="1">SUM(J6:J11)</f>
        <v>#NAME?</v>
      </c>
      <c r="K12" s="7" t="e">
        <f ca="1">SUM(K6:K11)</f>
        <v>#NAME?</v>
      </c>
      <c r="L12" s="7" t="e">
        <f ca="1">SUM(L6:L11)</f>
        <v>#NAME?</v>
      </c>
      <c r="N12" s="22" t="s">
        <v>43</v>
      </c>
      <c r="O12" s="17" t="e">
        <f t="shared" ca="1" si="10"/>
        <v>#NAME?</v>
      </c>
      <c r="P12" s="41" t="s">
        <v>27</v>
      </c>
      <c r="Q12" s="37" t="s">
        <v>43</v>
      </c>
      <c r="R12" s="17" t="e">
        <f t="shared" ca="1" si="11"/>
        <v>#NAME?</v>
      </c>
      <c r="S12" s="15" t="s">
        <v>27</v>
      </c>
    </row>
    <row r="13" spans="1:19" ht="16.2" thickTop="1">
      <c r="A13" s="5" t="s">
        <v>44</v>
      </c>
      <c r="B13" s="8">
        <v>101.325</v>
      </c>
      <c r="C13" s="109" t="s">
        <v>16</v>
      </c>
      <c r="F13" t="s">
        <v>45</v>
      </c>
      <c r="G13" t="s">
        <v>46</v>
      </c>
      <c r="H13" t="s">
        <v>47</v>
      </c>
      <c r="I13" s="125" t="s">
        <v>48</v>
      </c>
      <c r="J13" s="125"/>
      <c r="N13" s="22" t="s">
        <v>49</v>
      </c>
      <c r="O13" s="17" t="e">
        <f t="shared" ca="1" si="10"/>
        <v>#NAME?</v>
      </c>
      <c r="P13" s="41" t="s">
        <v>27</v>
      </c>
      <c r="Q13" s="37" t="s">
        <v>49</v>
      </c>
      <c r="R13" s="17" t="e">
        <f t="shared" ca="1" si="11"/>
        <v>#NAME?</v>
      </c>
      <c r="S13" s="15" t="s">
        <v>27</v>
      </c>
    </row>
    <row r="14" spans="1:19">
      <c r="N14" s="29" t="s">
        <v>50</v>
      </c>
      <c r="O14" s="17" t="e">
        <f t="shared" ca="1" si="10"/>
        <v>#NAME?</v>
      </c>
      <c r="P14" s="41" t="s">
        <v>27</v>
      </c>
      <c r="Q14" s="38" t="s">
        <v>50</v>
      </c>
      <c r="R14" s="17" t="e">
        <f t="shared" ca="1" si="11"/>
        <v>#NAME?</v>
      </c>
      <c r="S14" s="15" t="s">
        <v>27</v>
      </c>
    </row>
    <row r="15" spans="1:19" ht="16.2" thickBot="1">
      <c r="A15" s="9"/>
      <c r="B15" s="9"/>
      <c r="C15" s="9"/>
      <c r="N15" s="29" t="s">
        <v>51</v>
      </c>
      <c r="O15" s="17" t="e">
        <f t="shared" ca="1" si="10"/>
        <v>#NAME?</v>
      </c>
      <c r="P15" s="41" t="s">
        <v>27</v>
      </c>
      <c r="Q15" s="38" t="s">
        <v>51</v>
      </c>
      <c r="R15" s="17" t="e">
        <f t="shared" ca="1" si="11"/>
        <v>#NAME?</v>
      </c>
      <c r="S15" s="15" t="s">
        <v>27</v>
      </c>
    </row>
    <row r="16" spans="1:19" ht="16.2" thickTop="1">
      <c r="A16" s="24"/>
      <c r="B16" s="145" t="s">
        <v>52</v>
      </c>
      <c r="C16" s="145"/>
      <c r="D16" s="145"/>
      <c r="E16" s="145"/>
      <c r="F16" s="145"/>
      <c r="G16" s="145"/>
      <c r="H16" s="145"/>
      <c r="I16" s="137" t="s">
        <v>53</v>
      </c>
      <c r="J16" s="138"/>
      <c r="K16" s="138"/>
      <c r="L16" s="139"/>
      <c r="N16" s="29" t="s">
        <v>54</v>
      </c>
      <c r="O16" s="17" t="e">
        <f t="shared" ca="1" si="10"/>
        <v>#NAME?</v>
      </c>
      <c r="P16" s="41" t="s">
        <v>27</v>
      </c>
      <c r="Q16" s="38" t="s">
        <v>54</v>
      </c>
      <c r="R16" s="17" t="e">
        <f t="shared" ca="1" si="11"/>
        <v>#NAME?</v>
      </c>
      <c r="S16" s="15" t="s">
        <v>27</v>
      </c>
    </row>
    <row r="17" spans="1:19">
      <c r="A17" s="13"/>
      <c r="B17" s="144" t="s">
        <v>55</v>
      </c>
      <c r="C17" s="144"/>
      <c r="D17" s="144"/>
      <c r="E17" s="144"/>
      <c r="F17" s="144"/>
      <c r="G17" s="144"/>
      <c r="H17" s="144"/>
      <c r="I17" s="132" t="s">
        <v>56</v>
      </c>
      <c r="J17" s="133"/>
      <c r="K17" s="133"/>
      <c r="L17" s="136"/>
      <c r="N17" s="18" t="s">
        <v>57</v>
      </c>
      <c r="O17" s="20" t="e">
        <f ca="1">K12</f>
        <v>#NAME?</v>
      </c>
      <c r="P17" s="112" t="s">
        <v>58</v>
      </c>
      <c r="Q17" s="34" t="s">
        <v>57</v>
      </c>
      <c r="R17" s="20" t="e">
        <f ca="1">K12</f>
        <v>#NAME?</v>
      </c>
      <c r="S17" s="109" t="s">
        <v>58</v>
      </c>
    </row>
    <row r="18" spans="1:19">
      <c r="A18" s="10" t="s">
        <v>59</v>
      </c>
      <c r="B18" s="10" t="s">
        <v>60</v>
      </c>
      <c r="C18" s="10" t="s">
        <v>61</v>
      </c>
      <c r="D18" s="10" t="s">
        <v>62</v>
      </c>
      <c r="E18" s="10" t="s">
        <v>63</v>
      </c>
      <c r="F18" s="10" t="s">
        <v>64</v>
      </c>
      <c r="G18" s="10"/>
      <c r="H18" s="1"/>
      <c r="I18" s="10" t="s">
        <v>65</v>
      </c>
      <c r="J18" s="10" t="s">
        <v>66</v>
      </c>
      <c r="K18" s="25" t="s">
        <v>67</v>
      </c>
      <c r="N18" s="18" t="s">
        <v>68</v>
      </c>
      <c r="O18" s="20" t="e">
        <f ca="1">1/L12</f>
        <v>#NAME?</v>
      </c>
      <c r="P18" s="112" t="s">
        <v>58</v>
      </c>
      <c r="Q18" s="34" t="s">
        <v>68</v>
      </c>
      <c r="R18" s="20" t="e">
        <f ca="1">1/L12</f>
        <v>#NAME?</v>
      </c>
      <c r="S18" s="109" t="s">
        <v>58</v>
      </c>
    </row>
    <row r="19" spans="1:19">
      <c r="A19" s="6" t="s">
        <v>69</v>
      </c>
      <c r="B19" s="11">
        <v>51.856999999999999</v>
      </c>
      <c r="C19" s="11">
        <v>-2598.6999999999998</v>
      </c>
      <c r="D19" s="11">
        <v>-5.1283000000000003</v>
      </c>
      <c r="E19" s="12">
        <v>1.4912999999999999E-5</v>
      </c>
      <c r="F19" s="11">
        <v>2</v>
      </c>
      <c r="G19" s="11"/>
      <c r="H19" s="1"/>
      <c r="I19" s="1">
        <v>9.0434999999999999</v>
      </c>
      <c r="J19" s="1">
        <v>1511.42</v>
      </c>
      <c r="K19" s="26">
        <v>-17.16</v>
      </c>
      <c r="N19" s="18"/>
      <c r="O19" s="20"/>
      <c r="P19" s="112"/>
      <c r="Q19" s="34"/>
      <c r="R19" s="20"/>
      <c r="S19" s="109"/>
    </row>
    <row r="20" spans="1:19">
      <c r="A20" s="6" t="s">
        <v>70</v>
      </c>
      <c r="B20" s="11">
        <v>78.741</v>
      </c>
      <c r="C20" s="11">
        <v>-5420.3</v>
      </c>
      <c r="D20" s="11">
        <v>-8.8253000000000004</v>
      </c>
      <c r="E20" s="12">
        <v>9.6170999999999998E-6</v>
      </c>
      <c r="F20" s="11">
        <v>2</v>
      </c>
      <c r="G20" s="11"/>
      <c r="H20" s="1"/>
      <c r="I20" s="1">
        <v>9.2131000000000007</v>
      </c>
      <c r="J20" s="1">
        <v>2477.0700000000002</v>
      </c>
      <c r="K20" s="26">
        <v>-39.94</v>
      </c>
      <c r="N20" s="18"/>
      <c r="O20" s="20"/>
      <c r="P20" s="112"/>
      <c r="Q20" s="34"/>
      <c r="R20" s="20"/>
      <c r="S20" s="109"/>
    </row>
    <row r="21" spans="1:19">
      <c r="A21" s="6" t="s">
        <v>71</v>
      </c>
      <c r="B21" s="11">
        <v>104.65</v>
      </c>
      <c r="C21" s="11">
        <v>-6995.5</v>
      </c>
      <c r="D21" s="11">
        <v>-12.702</v>
      </c>
      <c r="E21" s="12">
        <v>1.2381000000000001E-5</v>
      </c>
      <c r="F21" s="11">
        <v>2</v>
      </c>
      <c r="G21" s="11"/>
      <c r="H21" s="1"/>
      <c r="I21" s="1">
        <v>9.2164000000000001</v>
      </c>
      <c r="J21" s="1">
        <v>2697.55</v>
      </c>
      <c r="K21" s="26">
        <v>-48.78</v>
      </c>
    </row>
    <row r="22" spans="1:19">
      <c r="A22" s="6" t="s">
        <v>72</v>
      </c>
      <c r="B22" s="11">
        <v>116.51</v>
      </c>
      <c r="C22" s="11">
        <v>-7103.3</v>
      </c>
      <c r="D22" s="11">
        <v>-15.49</v>
      </c>
      <c r="E22" s="12">
        <v>1.6958999999999998E-2</v>
      </c>
      <c r="F22" s="11">
        <v>1</v>
      </c>
      <c r="G22" s="11"/>
      <c r="H22" s="1"/>
      <c r="I22" s="1">
        <v>9.1325000000000003</v>
      </c>
      <c r="J22" s="1">
        <v>2766.63</v>
      </c>
      <c r="K22" s="26">
        <v>-50.5</v>
      </c>
    </row>
    <row r="23" spans="1:19">
      <c r="A23" s="6" t="s">
        <v>73</v>
      </c>
      <c r="B23" s="11">
        <v>73.649000000000001</v>
      </c>
      <c r="C23" s="11">
        <v>-7258.2</v>
      </c>
      <c r="D23" s="11">
        <v>-7.3037000000000001</v>
      </c>
      <c r="E23" s="12">
        <v>4.1652999999999997E-6</v>
      </c>
      <c r="F23" s="11">
        <v>2</v>
      </c>
      <c r="G23" s="11"/>
      <c r="H23" s="1"/>
      <c r="I23" s="1">
        <v>11.683400000000001</v>
      </c>
      <c r="J23" s="1">
        <v>3816.44</v>
      </c>
      <c r="K23" s="26">
        <v>-46.13</v>
      </c>
    </row>
    <row r="24" spans="1:19">
      <c r="A24" s="6" t="s">
        <v>74</v>
      </c>
      <c r="B24" s="11">
        <v>58.281999999999996</v>
      </c>
      <c r="C24" s="11">
        <v>-1084.0999999999999</v>
      </c>
      <c r="D24" s="11">
        <v>-8.3143999999999991</v>
      </c>
      <c r="E24" s="12">
        <v>4.4127E-2</v>
      </c>
      <c r="F24" s="11">
        <v>1</v>
      </c>
      <c r="G24" s="11"/>
      <c r="H24" s="1"/>
      <c r="I24" s="1">
        <v>8.3339999999999996</v>
      </c>
      <c r="J24" s="1">
        <v>588.72</v>
      </c>
      <c r="K24" s="26">
        <v>-6.6</v>
      </c>
    </row>
    <row r="25" spans="1:19">
      <c r="A25" s="132" t="s">
        <v>75</v>
      </c>
      <c r="B25" s="133"/>
      <c r="C25" s="133"/>
      <c r="D25" s="133"/>
      <c r="E25" s="133"/>
      <c r="F25" s="133"/>
      <c r="G25" s="110"/>
      <c r="H25" s="28"/>
      <c r="I25" s="126" t="s">
        <v>76</v>
      </c>
      <c r="J25" s="126"/>
      <c r="K25" s="126"/>
      <c r="L25" s="135"/>
    </row>
    <row r="26" spans="1:19" ht="16.2" thickBot="1">
      <c r="A26" s="134" t="s">
        <v>77</v>
      </c>
      <c r="B26" s="134"/>
      <c r="C26" s="134"/>
      <c r="D26" s="134"/>
      <c r="E26" s="134"/>
      <c r="F26" s="134"/>
      <c r="G26" s="111"/>
      <c r="H26" s="27"/>
      <c r="I26" s="140" t="s">
        <v>78</v>
      </c>
      <c r="J26" s="141"/>
      <c r="K26" s="141"/>
      <c r="L26" s="142"/>
    </row>
    <row r="27" spans="1:19" ht="16.2" thickTop="1"/>
    <row r="28" spans="1:19">
      <c r="A28" s="1"/>
      <c r="B28" s="127" t="s">
        <v>79</v>
      </c>
      <c r="C28" s="127"/>
      <c r="D28" s="127"/>
      <c r="E28" s="127"/>
      <c r="F28" s="127"/>
      <c r="G28" s="127"/>
    </row>
    <row r="29" spans="1:19">
      <c r="A29" s="10" t="s">
        <v>59</v>
      </c>
      <c r="B29" s="10" t="s">
        <v>80</v>
      </c>
      <c r="C29" s="10" t="s">
        <v>81</v>
      </c>
      <c r="D29" s="10" t="s">
        <v>82</v>
      </c>
      <c r="E29" s="10" t="s">
        <v>83</v>
      </c>
      <c r="F29" s="10" t="s">
        <v>84</v>
      </c>
      <c r="G29" s="10"/>
    </row>
    <row r="30" spans="1:19">
      <c r="A30" s="6" t="s">
        <v>69</v>
      </c>
      <c r="B30" s="11">
        <v>305.32</v>
      </c>
      <c r="C30" s="11">
        <f>(4.85/0.000001)/1000</f>
        <v>4850</v>
      </c>
      <c r="D30" s="11">
        <v>0.27900000000000003</v>
      </c>
      <c r="E30" s="11">
        <v>9.8000000000000004E-2</v>
      </c>
      <c r="F30" s="11">
        <v>30.07</v>
      </c>
      <c r="G30" s="11"/>
    </row>
    <row r="31" spans="1:19">
      <c r="A31" s="6" t="s">
        <v>70</v>
      </c>
      <c r="B31" s="11">
        <v>469.7</v>
      </c>
      <c r="C31" s="11">
        <f>(3.36/0.000001)/1000</f>
        <v>3360</v>
      </c>
      <c r="D31" s="11">
        <v>0.27100000000000002</v>
      </c>
      <c r="E31" s="11">
        <v>0.251</v>
      </c>
      <c r="F31" s="11">
        <v>72.150000000000006</v>
      </c>
      <c r="G31" s="11"/>
    </row>
    <row r="32" spans="1:19">
      <c r="A32" s="6" t="s">
        <v>71</v>
      </c>
      <c r="B32" s="11">
        <v>507.6</v>
      </c>
      <c r="C32" s="11">
        <f>(3.04/0.000001)/1000</f>
        <v>3040</v>
      </c>
      <c r="D32" s="11">
        <v>0.26900000000000002</v>
      </c>
      <c r="E32" s="11">
        <v>0.30399999999999999</v>
      </c>
      <c r="F32" s="11">
        <v>86.177000000000007</v>
      </c>
      <c r="G32" s="11"/>
    </row>
    <row r="33" spans="1:7">
      <c r="A33" s="6" t="s">
        <v>72</v>
      </c>
      <c r="B33" s="11">
        <v>553.58000000000004</v>
      </c>
      <c r="C33" s="11">
        <f>(4.1/0.000001)/1000</f>
        <v>4100</v>
      </c>
      <c r="D33" s="11">
        <v>0.27400000000000002</v>
      </c>
      <c r="E33" s="11">
        <v>0.21199999999999999</v>
      </c>
      <c r="F33" s="11">
        <v>84.161000000000001</v>
      </c>
      <c r="G33" s="11"/>
    </row>
    <row r="34" spans="1:7">
      <c r="A34" s="6" t="s">
        <v>73</v>
      </c>
      <c r="B34" s="11">
        <v>647.13</v>
      </c>
      <c r="C34" s="11">
        <f>(21.94/0.000001)/1000</f>
        <v>21940.000000000004</v>
      </c>
      <c r="D34" s="11">
        <v>0.22800000000000001</v>
      </c>
      <c r="E34" s="11">
        <v>0.34300000000000003</v>
      </c>
      <c r="F34" s="11">
        <v>18.015000000000001</v>
      </c>
      <c r="G34" s="11"/>
    </row>
    <row r="35" spans="1:7">
      <c r="A35" s="6" t="s">
        <v>74</v>
      </c>
      <c r="B35" s="11">
        <v>126.2</v>
      </c>
      <c r="C35" s="11">
        <f>(3.39/0.000001)/1000</f>
        <v>3390.0000000000005</v>
      </c>
      <c r="D35" s="11">
        <v>0.28799999999999998</v>
      </c>
      <c r="E35" s="11">
        <v>3.6999999999999998E-2</v>
      </c>
      <c r="F35" s="11">
        <v>28.013999999999999</v>
      </c>
      <c r="G35" s="11"/>
    </row>
    <row r="36" spans="1:7">
      <c r="A36" s="126" t="s">
        <v>85</v>
      </c>
      <c r="B36" s="126"/>
      <c r="C36" s="126"/>
      <c r="D36" s="126"/>
      <c r="E36" s="126"/>
      <c r="F36" s="126"/>
      <c r="G36" s="126"/>
    </row>
  </sheetData>
  <mergeCells count="17">
    <mergeCell ref="B16:H16"/>
    <mergeCell ref="D4:I4"/>
    <mergeCell ref="Q1:S1"/>
    <mergeCell ref="I13:J13"/>
    <mergeCell ref="A36:G36"/>
    <mergeCell ref="B28:G28"/>
    <mergeCell ref="H7:H8"/>
    <mergeCell ref="H10:H11"/>
    <mergeCell ref="N1:P1"/>
    <mergeCell ref="A25:F25"/>
    <mergeCell ref="A26:F26"/>
    <mergeCell ref="I25:L25"/>
    <mergeCell ref="I17:L17"/>
    <mergeCell ref="I16:L16"/>
    <mergeCell ref="I26:L26"/>
    <mergeCell ref="A1:C1"/>
    <mergeCell ref="B17:H17"/>
  </mergeCells>
  <pageMargins left="0.7" right="0.7" top="0.75" bottom="0.75" header="0.3" footer="0.3"/>
  <pageSetup orientation="portrait" horizontalDpi="0" verticalDpi="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B1:P17"/>
  <sheetViews>
    <sheetView zoomScale="70" zoomScaleNormal="70" zoomScalePageLayoutView="70" workbookViewId="0">
      <selection activeCell="D17" sqref="D17"/>
    </sheetView>
  </sheetViews>
  <sheetFormatPr defaultColWidth="11.19921875" defaultRowHeight="15.6"/>
  <cols>
    <col min="2" max="2" width="19" customWidth="1"/>
    <col min="11" max="11" width="12.296875" bestFit="1" customWidth="1"/>
  </cols>
  <sheetData>
    <row r="1" spans="2:16">
      <c r="B1" s="147" t="s">
        <v>86</v>
      </c>
      <c r="C1" s="147"/>
      <c r="D1" s="147"/>
    </row>
    <row r="2" spans="2:16">
      <c r="B2" s="143" t="s">
        <v>0</v>
      </c>
      <c r="C2" s="143"/>
      <c r="D2" s="143"/>
    </row>
    <row r="3" spans="2:16">
      <c r="B3" s="2" t="s">
        <v>3</v>
      </c>
      <c r="C3" s="2" t="s">
        <v>4</v>
      </c>
      <c r="D3" s="2" t="s">
        <v>5</v>
      </c>
    </row>
    <row r="4" spans="2:16">
      <c r="B4" s="1" t="s">
        <v>7</v>
      </c>
      <c r="C4" s="3">
        <v>100</v>
      </c>
      <c r="D4" s="109" t="s">
        <v>10</v>
      </c>
    </row>
    <row r="5" spans="2:16">
      <c r="B5" s="54" t="s">
        <v>11</v>
      </c>
      <c r="C5" s="46">
        <v>150</v>
      </c>
      <c r="D5" s="47" t="s">
        <v>12</v>
      </c>
      <c r="K5">
        <v>0.21776960703264725</v>
      </c>
      <c r="L5" s="95" t="e">
        <f ca="1">SUM(L7:L17)</f>
        <v>#NAME?</v>
      </c>
      <c r="M5" t="e">
        <f ca="1">SUM(M7:M12)</f>
        <v>#NAME?</v>
      </c>
      <c r="N5" t="e">
        <f ca="1">SUM(N7:N12)</f>
        <v>#NAME?</v>
      </c>
    </row>
    <row r="6" spans="2:16">
      <c r="B6" s="1" t="s">
        <v>15</v>
      </c>
      <c r="C6" s="3">
        <v>101</v>
      </c>
      <c r="D6" s="109" t="s">
        <v>16</v>
      </c>
      <c r="E6" s="50" t="s">
        <v>80</v>
      </c>
      <c r="F6" s="50" t="s">
        <v>81</v>
      </c>
      <c r="G6" s="50" t="s">
        <v>82</v>
      </c>
      <c r="H6" s="50" t="s">
        <v>83</v>
      </c>
      <c r="I6" s="50" t="s">
        <v>84</v>
      </c>
      <c r="J6" s="51" t="s">
        <v>87</v>
      </c>
      <c r="K6" s="53" t="s">
        <v>88</v>
      </c>
      <c r="L6" s="53" t="s">
        <v>89</v>
      </c>
      <c r="M6" s="53" t="s">
        <v>90</v>
      </c>
      <c r="N6" s="53" t="s">
        <v>91</v>
      </c>
      <c r="O6" s="53" t="s">
        <v>92</v>
      </c>
      <c r="P6" s="53" t="s">
        <v>93</v>
      </c>
    </row>
    <row r="7" spans="2:16">
      <c r="B7" s="6" t="s">
        <v>28</v>
      </c>
      <c r="C7" s="3">
        <v>0.2</v>
      </c>
      <c r="D7" s="109" t="s">
        <v>27</v>
      </c>
      <c r="E7" s="52">
        <v>305.32</v>
      </c>
      <c r="F7" s="52">
        <v>4850</v>
      </c>
      <c r="G7" s="52">
        <v>0.27900000000000003</v>
      </c>
      <c r="H7" s="52">
        <v>9.8000000000000004E-2</v>
      </c>
      <c r="I7" s="52">
        <v>30.07</v>
      </c>
      <c r="J7" s="1" t="e">
        <f ca="1">IF(C7="","",wilson(F7,$C$6,E7,$C$5,H7))</f>
        <v>#NAME?</v>
      </c>
      <c r="K7" s="94" t="e">
        <f ca="1">solveR(J7:J16,MF_iVal,COUNTA(Chemicals))</f>
        <v>#NAME?</v>
      </c>
      <c r="L7" s="1" t="e">
        <f ca="1">IF(C7="","",RRE(J7,C7,$K$5))</f>
        <v>#NAME?</v>
      </c>
      <c r="M7" s="1" t="e">
        <f ca="1">IF(C7="","",X_i(J7,C7,$K$7))</f>
        <v>#NAME?</v>
      </c>
      <c r="N7" s="1" t="e">
        <f ca="1">IF(C7="","",y_i(J7,C7,$K$7))</f>
        <v>#NAME?</v>
      </c>
      <c r="O7" s="146" t="e">
        <f ca="1">C4-P7</f>
        <v>#NAME?</v>
      </c>
      <c r="P7" s="146" t="e">
        <f ca="1">C4*K7</f>
        <v>#NAME?</v>
      </c>
    </row>
    <row r="8" spans="2:16">
      <c r="B8" s="6" t="s">
        <v>31</v>
      </c>
      <c r="C8" s="3">
        <v>0.2</v>
      </c>
      <c r="D8" s="109" t="s">
        <v>27</v>
      </c>
      <c r="E8" s="52">
        <v>469.7</v>
      </c>
      <c r="F8" s="52">
        <f>3360</f>
        <v>3360</v>
      </c>
      <c r="G8" s="52">
        <v>0.27100000000000002</v>
      </c>
      <c r="H8" s="52">
        <v>0.251</v>
      </c>
      <c r="I8" s="52">
        <v>72.150000000000006</v>
      </c>
      <c r="J8" s="1" t="e">
        <f t="shared" ref="J8:J16" ca="1" si="0">IF(C8="","",wilson(F8,$C$6,E8,$C$5,H8))</f>
        <v>#NAME?</v>
      </c>
      <c r="K8" s="94"/>
      <c r="L8" s="1" t="e">
        <f t="shared" ref="L8:L17" ca="1" si="1">IF(C8="","",RRE(J8,C8,$K$5))</f>
        <v>#NAME?</v>
      </c>
      <c r="M8" s="1" t="e">
        <f t="shared" ref="M8:M12" ca="1" si="2">IF(C8="","",X_i(J8,C8,$K$7))</f>
        <v>#NAME?</v>
      </c>
      <c r="N8" s="1" t="e">
        <f t="shared" ref="N8:N12" ca="1" si="3">IF(C8="","",y_i(J8,C8,$K$7))</f>
        <v>#NAME?</v>
      </c>
      <c r="O8" s="146"/>
      <c r="P8" s="146"/>
    </row>
    <row r="9" spans="2:16">
      <c r="B9" s="6" t="s">
        <v>33</v>
      </c>
      <c r="C9" s="3">
        <v>0.2</v>
      </c>
      <c r="D9" s="109" t="s">
        <v>27</v>
      </c>
      <c r="E9" s="52">
        <v>507.6</v>
      </c>
      <c r="F9" s="52">
        <v>3040</v>
      </c>
      <c r="G9" s="52">
        <v>0.26900000000000002</v>
      </c>
      <c r="H9" s="52">
        <v>0.30399999999999999</v>
      </c>
      <c r="I9" s="52">
        <v>86.177000000000007</v>
      </c>
      <c r="J9" s="1" t="e">
        <f t="shared" ca="1" si="0"/>
        <v>#NAME?</v>
      </c>
      <c r="K9" s="94"/>
      <c r="L9" s="1" t="e">
        <f t="shared" ca="1" si="1"/>
        <v>#NAME?</v>
      </c>
      <c r="M9" s="1" t="e">
        <f t="shared" ca="1" si="2"/>
        <v>#NAME?</v>
      </c>
      <c r="N9" s="1" t="e">
        <f t="shared" ca="1" si="3"/>
        <v>#NAME?</v>
      </c>
      <c r="O9" s="146"/>
      <c r="P9" s="146"/>
    </row>
    <row r="10" spans="2:16">
      <c r="B10" s="6" t="s">
        <v>35</v>
      </c>
      <c r="C10" s="3">
        <v>0.2</v>
      </c>
      <c r="D10" s="109" t="s">
        <v>27</v>
      </c>
      <c r="E10" s="52">
        <v>553.58000000000004</v>
      </c>
      <c r="F10" s="52">
        <v>4100</v>
      </c>
      <c r="G10" s="52">
        <v>0.27400000000000002</v>
      </c>
      <c r="H10" s="52">
        <v>0.21199999999999999</v>
      </c>
      <c r="I10" s="52">
        <v>84.161000000000001</v>
      </c>
      <c r="J10" s="1" t="e">
        <f t="shared" ca="1" si="0"/>
        <v>#NAME?</v>
      </c>
      <c r="K10" s="94"/>
      <c r="L10" s="1" t="e">
        <f t="shared" ca="1" si="1"/>
        <v>#NAME?</v>
      </c>
      <c r="M10" s="1" t="e">
        <f t="shared" ca="1" si="2"/>
        <v>#NAME?</v>
      </c>
      <c r="N10" s="1" t="e">
        <f t="shared" ca="1" si="3"/>
        <v>#NAME?</v>
      </c>
      <c r="O10" s="146"/>
      <c r="P10" s="146"/>
    </row>
    <row r="11" spans="2:16">
      <c r="B11" s="6" t="s">
        <v>38</v>
      </c>
      <c r="C11" s="3">
        <v>0.1</v>
      </c>
      <c r="D11" s="109" t="s">
        <v>27</v>
      </c>
      <c r="E11" s="52">
        <v>647.13</v>
      </c>
      <c r="F11" s="52">
        <v>21940</v>
      </c>
      <c r="G11" s="52">
        <v>0.22800000000000001</v>
      </c>
      <c r="H11" s="52">
        <v>0.34300000000000003</v>
      </c>
      <c r="I11" s="52">
        <v>18.015000000000001</v>
      </c>
      <c r="J11" s="1" t="e">
        <f t="shared" ca="1" si="0"/>
        <v>#NAME?</v>
      </c>
      <c r="K11" s="94"/>
      <c r="L11" s="1" t="e">
        <f t="shared" ca="1" si="1"/>
        <v>#NAME?</v>
      </c>
      <c r="M11" s="1" t="e">
        <f t="shared" ca="1" si="2"/>
        <v>#NAME?</v>
      </c>
      <c r="N11" s="1" t="e">
        <f t="shared" ca="1" si="3"/>
        <v>#NAME?</v>
      </c>
      <c r="O11" s="146"/>
      <c r="P11" s="146"/>
    </row>
    <row r="12" spans="2:16">
      <c r="B12" s="6" t="s">
        <v>40</v>
      </c>
      <c r="C12" s="3">
        <v>0.1</v>
      </c>
      <c r="D12" s="109" t="s">
        <v>27</v>
      </c>
      <c r="E12" s="52">
        <v>126.2</v>
      </c>
      <c r="F12" s="52">
        <v>3390</v>
      </c>
      <c r="G12" s="52">
        <v>0.28799999999999998</v>
      </c>
      <c r="H12" s="52">
        <v>3.6999999999999998E-2</v>
      </c>
      <c r="I12" s="52">
        <v>28.013999999999999</v>
      </c>
      <c r="J12" s="1" t="e">
        <f t="shared" ca="1" si="0"/>
        <v>#NAME?</v>
      </c>
      <c r="K12" s="94"/>
      <c r="L12" s="1" t="e">
        <f t="shared" ca="1" si="1"/>
        <v>#NAME?</v>
      </c>
      <c r="M12" s="1" t="e">
        <f t="shared" ca="1" si="2"/>
        <v>#NAME?</v>
      </c>
      <c r="N12" s="1" t="e">
        <f t="shared" ca="1" si="3"/>
        <v>#NAME?</v>
      </c>
      <c r="O12" s="146"/>
      <c r="P12" s="146"/>
    </row>
    <row r="13" spans="2:16">
      <c r="B13" s="6"/>
      <c r="C13" s="1"/>
      <c r="D13" s="1"/>
      <c r="E13" s="1">
        <v>190.6</v>
      </c>
      <c r="F13" s="1">
        <v>4599</v>
      </c>
      <c r="G13" s="1">
        <v>1.77701994</v>
      </c>
      <c r="H13" s="1">
        <v>8.0000000000000002E-3</v>
      </c>
      <c r="I13" s="1"/>
      <c r="J13" s="1" t="str">
        <f t="shared" si="0"/>
        <v/>
      </c>
      <c r="K13" s="1"/>
      <c r="L13" s="1" t="str">
        <f t="shared" si="1"/>
        <v/>
      </c>
      <c r="M13" s="1" t="str">
        <f t="shared" ref="M13:M17" si="4">IF(C13="","",X_i(J13,C13,$K$5))</f>
        <v/>
      </c>
      <c r="N13" s="1" t="str">
        <f t="shared" ref="N13:N17" si="5">IF(C13="","",y_i(J13,C13,$K$5))</f>
        <v/>
      </c>
      <c r="O13" s="126"/>
      <c r="P13" s="126"/>
    </row>
    <row r="14" spans="2:16">
      <c r="E14">
        <v>369.8</v>
      </c>
      <c r="F14">
        <v>4248</v>
      </c>
      <c r="G14">
        <v>0.91590048999999996</v>
      </c>
      <c r="H14">
        <v>0.152</v>
      </c>
      <c r="J14" s="1" t="str">
        <f t="shared" si="0"/>
        <v/>
      </c>
      <c r="L14" s="1" t="str">
        <f t="shared" si="1"/>
        <v/>
      </c>
      <c r="M14" s="1" t="str">
        <f t="shared" si="4"/>
        <v/>
      </c>
      <c r="N14" s="1" t="str">
        <f t="shared" si="5"/>
        <v/>
      </c>
    </row>
    <row r="15" spans="2:16">
      <c r="E15">
        <v>617.70000000000005</v>
      </c>
      <c r="F15">
        <v>2110</v>
      </c>
      <c r="G15">
        <v>0.54832442999999997</v>
      </c>
      <c r="H15">
        <v>0.49199999999999999</v>
      </c>
      <c r="J15" s="1" t="str">
        <f t="shared" si="0"/>
        <v/>
      </c>
      <c r="L15" s="1" t="str">
        <f t="shared" si="1"/>
        <v/>
      </c>
      <c r="M15" s="1" t="str">
        <f t="shared" si="4"/>
        <v/>
      </c>
      <c r="N15" s="1" t="str">
        <f t="shared" si="5"/>
        <v/>
      </c>
    </row>
    <row r="16" spans="2:16">
      <c r="E16">
        <v>717</v>
      </c>
      <c r="F16">
        <v>1400</v>
      </c>
      <c r="G16">
        <v>0.47238493999999998</v>
      </c>
      <c r="H16">
        <v>0.747</v>
      </c>
      <c r="J16" s="1" t="str">
        <f t="shared" si="0"/>
        <v/>
      </c>
      <c r="L16" s="1" t="str">
        <f t="shared" si="1"/>
        <v/>
      </c>
      <c r="M16" s="1" t="str">
        <f t="shared" si="4"/>
        <v/>
      </c>
      <c r="N16" s="1" t="str">
        <f t="shared" si="5"/>
        <v/>
      </c>
    </row>
    <row r="17" spans="12:14">
      <c r="L17" s="1" t="str">
        <f t="shared" si="1"/>
        <v/>
      </c>
      <c r="M17" s="1" t="str">
        <f t="shared" si="4"/>
        <v/>
      </c>
      <c r="N17" s="1" t="str">
        <f t="shared" si="5"/>
        <v/>
      </c>
    </row>
  </sheetData>
  <mergeCells count="5">
    <mergeCell ref="B2:D2"/>
    <mergeCell ref="P7:P12"/>
    <mergeCell ref="O7:O12"/>
    <mergeCell ref="O13:P13"/>
    <mergeCell ref="B1:D1"/>
  </mergeCells>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B2:AA26"/>
  <sheetViews>
    <sheetView zoomScale="70" zoomScaleNormal="70" zoomScalePageLayoutView="70" workbookViewId="0">
      <selection activeCell="F43" sqref="F42:F43"/>
    </sheetView>
  </sheetViews>
  <sheetFormatPr defaultColWidth="11.19921875" defaultRowHeight="15.6"/>
  <cols>
    <col min="1" max="1" width="11.19921875" customWidth="1"/>
    <col min="2" max="2" width="19" customWidth="1"/>
    <col min="16" max="16" width="15.19921875" customWidth="1"/>
    <col min="17" max="17" width="13.69921875" customWidth="1"/>
    <col min="19" max="19" width="13.69921875" customWidth="1"/>
    <col min="20" max="20" width="14.69921875" customWidth="1"/>
    <col min="21" max="21" width="15.296875" customWidth="1"/>
    <col min="22" max="22" width="22.796875" customWidth="1"/>
    <col min="23" max="23" width="18.796875" customWidth="1"/>
  </cols>
  <sheetData>
    <row r="2" spans="2:27">
      <c r="B2" s="143" t="s">
        <v>0</v>
      </c>
      <c r="C2" s="143"/>
      <c r="D2" s="143"/>
    </row>
    <row r="3" spans="2:27">
      <c r="B3" s="2" t="s">
        <v>3</v>
      </c>
      <c r="C3" s="2" t="s">
        <v>4</v>
      </c>
      <c r="D3" s="2" t="s">
        <v>5</v>
      </c>
      <c r="G3" s="148" t="s">
        <v>94</v>
      </c>
      <c r="H3" s="148"/>
      <c r="I3" s="148"/>
      <c r="J3" s="148"/>
    </row>
    <row r="4" spans="2:27">
      <c r="B4" s="1" t="s">
        <v>7</v>
      </c>
      <c r="C4" s="3">
        <v>100</v>
      </c>
      <c r="D4" s="109" t="s">
        <v>10</v>
      </c>
      <c r="S4" t="s">
        <v>95</v>
      </c>
      <c r="T4" t="s">
        <v>95</v>
      </c>
      <c r="Z4" t="s">
        <v>95</v>
      </c>
    </row>
    <row r="5" spans="2:27">
      <c r="B5" s="54" t="s">
        <v>96</v>
      </c>
      <c r="C5" s="46">
        <v>300</v>
      </c>
      <c r="D5" s="47" t="s">
        <v>12</v>
      </c>
      <c r="T5" t="e">
        <f ca="1">SUM(T7:T12)</f>
        <v>#NAME?</v>
      </c>
      <c r="U5" t="e">
        <f ca="1">SUM(U7:U12)</f>
        <v>#NAME?</v>
      </c>
      <c r="Z5" t="e">
        <f ca="1">SUM(Z7:Z12)</f>
        <v>#NAME?</v>
      </c>
      <c r="AA5" t="e">
        <f ca="1">SUM(AA7:AA12)</f>
        <v>#NAME?</v>
      </c>
    </row>
    <row r="6" spans="2:27">
      <c r="B6" s="1" t="s">
        <v>97</v>
      </c>
      <c r="C6" s="3">
        <v>101</v>
      </c>
      <c r="D6" s="109" t="s">
        <v>16</v>
      </c>
      <c r="E6" s="50" t="s">
        <v>80</v>
      </c>
      <c r="F6" s="50" t="s">
        <v>81</v>
      </c>
      <c r="G6" s="50" t="s">
        <v>82</v>
      </c>
      <c r="H6" s="50" t="s">
        <v>83</v>
      </c>
      <c r="I6" s="50" t="s">
        <v>84</v>
      </c>
      <c r="J6" s="70" t="s">
        <v>98</v>
      </c>
      <c r="K6" s="51" t="s">
        <v>87</v>
      </c>
      <c r="L6" s="53" t="s">
        <v>88</v>
      </c>
      <c r="M6" s="53" t="s">
        <v>89</v>
      </c>
      <c r="N6" s="53" t="s">
        <v>90</v>
      </c>
      <c r="O6" s="53" t="s">
        <v>91</v>
      </c>
      <c r="P6" s="53" t="s">
        <v>99</v>
      </c>
      <c r="Q6" s="72" t="s">
        <v>100</v>
      </c>
      <c r="R6" s="53" t="s">
        <v>101</v>
      </c>
      <c r="S6" s="72" t="s">
        <v>102</v>
      </c>
      <c r="T6" s="72" t="s">
        <v>103</v>
      </c>
      <c r="U6" s="72" t="s">
        <v>104</v>
      </c>
      <c r="V6" s="73" t="s">
        <v>105</v>
      </c>
      <c r="W6" s="73" t="s">
        <v>106</v>
      </c>
      <c r="X6" s="53" t="s">
        <v>101</v>
      </c>
      <c r="Y6" s="72" t="s">
        <v>102</v>
      </c>
      <c r="Z6" s="72" t="s">
        <v>103</v>
      </c>
      <c r="AA6" s="72" t="s">
        <v>104</v>
      </c>
    </row>
    <row r="7" spans="2:27">
      <c r="B7" s="6" t="s">
        <v>28</v>
      </c>
      <c r="C7" s="3">
        <v>0.2</v>
      </c>
      <c r="D7" s="109" t="s">
        <v>27</v>
      </c>
      <c r="E7" s="52">
        <v>305.32</v>
      </c>
      <c r="F7" s="52">
        <v>4850</v>
      </c>
      <c r="G7" s="52">
        <v>0.27900000000000003</v>
      </c>
      <c r="H7" s="52">
        <v>9.8000000000000004E-2</v>
      </c>
      <c r="I7" s="52">
        <v>30.07</v>
      </c>
      <c r="J7">
        <f>$C$5/E7</f>
        <v>0.98257565832569105</v>
      </c>
      <c r="K7" s="1" t="e">
        <f ca="1">wilson(F7,$C$6,E7,$C$5,H7)</f>
        <v>#NAME?</v>
      </c>
      <c r="L7" s="114" t="e">
        <f ca="1">solveR(K7:K12,C7:C12,6)</f>
        <v>#NAME?</v>
      </c>
      <c r="M7" s="1" t="e">
        <f t="shared" ref="M7:M12" ca="1" si="0">RRE(K7,C7,$L$7)</f>
        <v>#NAME?</v>
      </c>
      <c r="N7" s="1" t="e">
        <f t="shared" ref="N7:N12" ca="1" si="1">X_i(K7,C7,$L$7)</f>
        <v>#NAME?</v>
      </c>
      <c r="O7" s="1" t="e">
        <f t="shared" ref="O7:O12" ca="1" si="2">y_i(K7,C7,$L$7)</f>
        <v>#NAME?</v>
      </c>
      <c r="P7" s="91" t="e">
        <f ca="1">INDEX(Wilson_dpbp($C$7:$C$12,$F$7:$F$12,$H$7:$H$12,$J$7:$J$12,COUNTA(B7:B34)),1)</f>
        <v>#NAME?</v>
      </c>
      <c r="Q7" s="93" t="e">
        <f ca="1">INDEX(Wilson_dpbp($C$7:$C$12,$F$7:$F$12,$H$7:$H$12,$J$7:$J$12,COUNTA(B7:B34)),2)</f>
        <v>#NAME?</v>
      </c>
      <c r="R7" s="69" t="e">
        <f ca="1">wilson(F7,$P$7,E7,$C$5,H7)</f>
        <v>#NAME?</v>
      </c>
      <c r="S7" t="e">
        <f ca="1">wilson(F7,$Q$7,E7,$C$5,H7)</f>
        <v>#NAME?</v>
      </c>
      <c r="T7" t="e">
        <f ca="1">C7/R7</f>
        <v>#NAME?</v>
      </c>
      <c r="U7" t="e">
        <f ca="1">C7*S7</f>
        <v>#NAME?</v>
      </c>
      <c r="V7" s="14" t="e">
        <f ca="1">INDEX(dpbp_WBisec(C7:C12,F7:F25,H7:H25,J7:J25,COUNTA(B7:B34),C5,P7,Q7,E7:E25),1)</f>
        <v>#NAME?</v>
      </c>
      <c r="W7" s="14" t="e">
        <f ca="1">INDEX(dpbp_WBisec(C7:C12,F7:F25,H7:H25,J7:J25,COUNTA(B7:B34),$C$5,$P$7,$Q$7,E7:E25),2)</f>
        <v>#NAME?</v>
      </c>
      <c r="X7" s="69" t="e">
        <f ca="1">wilson(F7,$V$7,E7,$C$5,H7)</f>
        <v>#NAME?</v>
      </c>
      <c r="Y7" t="e">
        <f ca="1">wilson(F7,$W$7,E7,$C$5,H7)</f>
        <v>#NAME?</v>
      </c>
      <c r="Z7" t="e">
        <f ca="1">C7/X7</f>
        <v>#NAME?</v>
      </c>
      <c r="AA7" t="e">
        <f ca="1">C7*Y7</f>
        <v>#NAME?</v>
      </c>
    </row>
    <row r="8" spans="2:27">
      <c r="B8" s="6" t="s">
        <v>31</v>
      </c>
      <c r="C8" s="3">
        <v>0.2</v>
      </c>
      <c r="D8" s="109" t="s">
        <v>27</v>
      </c>
      <c r="E8" s="52">
        <v>469.7</v>
      </c>
      <c r="F8" s="52">
        <v>3360</v>
      </c>
      <c r="G8" s="52">
        <v>0.27100000000000002</v>
      </c>
      <c r="H8" s="52">
        <v>0.251</v>
      </c>
      <c r="I8" s="52">
        <v>72.150000000000006</v>
      </c>
      <c r="J8">
        <f t="shared" ref="J8:J12" si="3">$C$5/E8</f>
        <v>0.63870555673834362</v>
      </c>
      <c r="K8" s="1" t="e">
        <f ca="1">wilson(F8,$C$6,E8,$C$5,H8)</f>
        <v>#NAME?</v>
      </c>
      <c r="L8" s="114"/>
      <c r="M8" s="1" t="e">
        <f t="shared" ca="1" si="0"/>
        <v>#NAME?</v>
      </c>
      <c r="N8" s="1" t="e">
        <f t="shared" ca="1" si="1"/>
        <v>#NAME?</v>
      </c>
      <c r="O8" s="1" t="e">
        <f t="shared" ca="1" si="2"/>
        <v>#NAME?</v>
      </c>
      <c r="P8" s="92"/>
      <c r="Q8" s="93"/>
      <c r="R8" s="69" t="e">
        <f t="shared" ref="R8:R12" ca="1" si="4">wilson(F8,$P$7,E8,$C$5,H8)</f>
        <v>#NAME?</v>
      </c>
      <c r="S8" t="e">
        <f t="shared" ref="S8:S12" ca="1" si="5">wilson(F8,$Q$7,E8,$C$5,H8)</f>
        <v>#NAME?</v>
      </c>
      <c r="T8" t="e">
        <f t="shared" ref="T8:T12" ca="1" si="6">C8/R8</f>
        <v>#NAME?</v>
      </c>
      <c r="U8" t="e">
        <f t="shared" ref="U8:U12" ca="1" si="7">C8*S8</f>
        <v>#NAME?</v>
      </c>
      <c r="V8" s="14"/>
      <c r="W8" s="14"/>
      <c r="X8" s="69" t="e">
        <f t="shared" ref="X8:X12" ca="1" si="8">wilson(F8,$V$7,E8,$C$5,H8)</f>
        <v>#NAME?</v>
      </c>
      <c r="Y8" t="e">
        <f t="shared" ref="Y8:Y12" ca="1" si="9">wilson(F8,$W$7,E8,$C$5,H8)</f>
        <v>#NAME?</v>
      </c>
      <c r="Z8" t="e">
        <f t="shared" ref="Z8:Z12" ca="1" si="10">C8/X8</f>
        <v>#NAME?</v>
      </c>
      <c r="AA8" t="e">
        <f t="shared" ref="AA8:AA12" ca="1" si="11">C8*Y8</f>
        <v>#NAME?</v>
      </c>
    </row>
    <row r="9" spans="2:27">
      <c r="B9" s="6" t="s">
        <v>33</v>
      </c>
      <c r="C9" s="3">
        <v>0.2</v>
      </c>
      <c r="D9" s="109" t="s">
        <v>27</v>
      </c>
      <c r="E9" s="52">
        <v>507.6</v>
      </c>
      <c r="F9" s="52">
        <v>3040</v>
      </c>
      <c r="G9" s="52">
        <v>0.26900000000000002</v>
      </c>
      <c r="H9" s="52">
        <v>0.30399999999999999</v>
      </c>
      <c r="I9" s="52">
        <v>86.177000000000007</v>
      </c>
      <c r="J9">
        <f t="shared" si="3"/>
        <v>0.59101654846335694</v>
      </c>
      <c r="K9" s="1" t="e">
        <f ca="1">wilson(F9,$C$6,E9,$C$5,H9)</f>
        <v>#NAME?</v>
      </c>
      <c r="L9" s="114"/>
      <c r="M9" s="1" t="e">
        <f t="shared" ca="1" si="0"/>
        <v>#NAME?</v>
      </c>
      <c r="N9" s="1" t="e">
        <f t="shared" ca="1" si="1"/>
        <v>#NAME?</v>
      </c>
      <c r="O9" s="1" t="e">
        <f t="shared" ca="1" si="2"/>
        <v>#NAME?</v>
      </c>
      <c r="P9" s="92"/>
      <c r="Q9" s="93"/>
      <c r="R9" s="69" t="e">
        <f t="shared" ca="1" si="4"/>
        <v>#NAME?</v>
      </c>
      <c r="S9" t="e">
        <f t="shared" ca="1" si="5"/>
        <v>#NAME?</v>
      </c>
      <c r="T9" t="e">
        <f t="shared" ca="1" si="6"/>
        <v>#NAME?</v>
      </c>
      <c r="U9" t="e">
        <f t="shared" ca="1" si="7"/>
        <v>#NAME?</v>
      </c>
      <c r="V9" s="14"/>
      <c r="W9" s="14"/>
      <c r="X9" s="69" t="e">
        <f t="shared" ca="1" si="8"/>
        <v>#NAME?</v>
      </c>
      <c r="Y9" t="e">
        <f t="shared" ca="1" si="9"/>
        <v>#NAME?</v>
      </c>
      <c r="Z9" t="e">
        <f t="shared" ca="1" si="10"/>
        <v>#NAME?</v>
      </c>
      <c r="AA9" t="e">
        <f t="shared" ca="1" si="11"/>
        <v>#NAME?</v>
      </c>
    </row>
    <row r="10" spans="2:27">
      <c r="B10" s="6" t="s">
        <v>35</v>
      </c>
      <c r="C10" s="3">
        <v>0.2</v>
      </c>
      <c r="D10" s="109" t="s">
        <v>27</v>
      </c>
      <c r="E10" s="52">
        <v>553.58000000000004</v>
      </c>
      <c r="F10" s="52">
        <v>4100</v>
      </c>
      <c r="G10" s="52">
        <v>0.27400000000000002</v>
      </c>
      <c r="H10" s="52">
        <v>0.21199999999999999</v>
      </c>
      <c r="I10" s="52">
        <v>84.161000000000001</v>
      </c>
      <c r="J10">
        <f t="shared" si="3"/>
        <v>0.54192709274178974</v>
      </c>
      <c r="K10" s="1" t="e">
        <f ca="1">wilson(F10,$C$6,E10,$C$5,H10)</f>
        <v>#NAME?</v>
      </c>
      <c r="L10" s="114"/>
      <c r="M10" s="1" t="e">
        <f t="shared" ca="1" si="0"/>
        <v>#NAME?</v>
      </c>
      <c r="N10" s="1" t="e">
        <f t="shared" ca="1" si="1"/>
        <v>#NAME?</v>
      </c>
      <c r="O10" s="1" t="e">
        <f t="shared" ca="1" si="2"/>
        <v>#NAME?</v>
      </c>
      <c r="P10" s="92"/>
      <c r="Q10" s="93"/>
      <c r="R10" s="69" t="e">
        <f t="shared" ca="1" si="4"/>
        <v>#NAME?</v>
      </c>
      <c r="S10" t="e">
        <f t="shared" ca="1" si="5"/>
        <v>#NAME?</v>
      </c>
      <c r="T10" t="e">
        <f t="shared" ca="1" si="6"/>
        <v>#NAME?</v>
      </c>
      <c r="U10" t="e">
        <f t="shared" ca="1" si="7"/>
        <v>#NAME?</v>
      </c>
      <c r="V10" s="14"/>
      <c r="W10" s="14"/>
      <c r="X10" s="69" t="e">
        <f t="shared" ca="1" si="8"/>
        <v>#NAME?</v>
      </c>
      <c r="Y10" t="e">
        <f t="shared" ca="1" si="9"/>
        <v>#NAME?</v>
      </c>
      <c r="Z10" t="e">
        <f t="shared" ca="1" si="10"/>
        <v>#NAME?</v>
      </c>
      <c r="AA10" t="e">
        <f t="shared" ca="1" si="11"/>
        <v>#NAME?</v>
      </c>
    </row>
    <row r="11" spans="2:27">
      <c r="B11" s="6" t="s">
        <v>38</v>
      </c>
      <c r="C11" s="3">
        <v>0.1</v>
      </c>
      <c r="D11" s="109" t="s">
        <v>27</v>
      </c>
      <c r="E11" s="52">
        <v>647.13</v>
      </c>
      <c r="F11" s="52">
        <v>21940</v>
      </c>
      <c r="G11" s="52">
        <v>0.22800000000000001</v>
      </c>
      <c r="H11" s="52">
        <v>0.34300000000000003</v>
      </c>
      <c r="I11" s="52">
        <v>18.015000000000001</v>
      </c>
      <c r="J11">
        <f t="shared" si="3"/>
        <v>0.46358536924574661</v>
      </c>
      <c r="K11" s="1" t="e">
        <f t="shared" ref="K11" ca="1" si="12">wilson(F11,$C$6,E11,$C$5,H11)</f>
        <v>#NAME?</v>
      </c>
      <c r="L11" s="114"/>
      <c r="M11" s="1" t="e">
        <f t="shared" ca="1" si="0"/>
        <v>#NAME?</v>
      </c>
      <c r="N11" s="1" t="e">
        <f t="shared" ca="1" si="1"/>
        <v>#NAME?</v>
      </c>
      <c r="O11" s="1" t="e">
        <f t="shared" ca="1" si="2"/>
        <v>#NAME?</v>
      </c>
      <c r="P11" s="92"/>
      <c r="Q11" s="93"/>
      <c r="R11" s="69" t="e">
        <f t="shared" ca="1" si="4"/>
        <v>#NAME?</v>
      </c>
      <c r="S11" t="e">
        <f t="shared" ca="1" si="5"/>
        <v>#NAME?</v>
      </c>
      <c r="T11" t="e">
        <f t="shared" ca="1" si="6"/>
        <v>#NAME?</v>
      </c>
      <c r="U11" t="e">
        <f t="shared" ca="1" si="7"/>
        <v>#NAME?</v>
      </c>
      <c r="V11" s="14"/>
      <c r="W11" s="14"/>
      <c r="X11" s="69" t="e">
        <f t="shared" ca="1" si="8"/>
        <v>#NAME?</v>
      </c>
      <c r="Y11" t="e">
        <f t="shared" ca="1" si="9"/>
        <v>#NAME?</v>
      </c>
      <c r="Z11" t="e">
        <f t="shared" ca="1" si="10"/>
        <v>#NAME?</v>
      </c>
      <c r="AA11" t="e">
        <f t="shared" ca="1" si="11"/>
        <v>#NAME?</v>
      </c>
    </row>
    <row r="12" spans="2:27">
      <c r="B12" s="6" t="s">
        <v>40</v>
      </c>
      <c r="C12" s="3">
        <v>0.1</v>
      </c>
      <c r="D12" s="109" t="s">
        <v>27</v>
      </c>
      <c r="E12" s="52">
        <v>126.2</v>
      </c>
      <c r="F12" s="52">
        <v>3390</v>
      </c>
      <c r="G12" s="52">
        <v>0.28799999999999998</v>
      </c>
      <c r="H12" s="52">
        <v>3.6999999999999998E-2</v>
      </c>
      <c r="I12" s="52">
        <v>28.013999999999999</v>
      </c>
      <c r="J12">
        <f t="shared" si="3"/>
        <v>2.3771790808240887</v>
      </c>
      <c r="K12" s="1" t="e">
        <f ca="1">wilson(F12,$C$6,E12,$C$5,H12)</f>
        <v>#NAME?</v>
      </c>
      <c r="L12" s="114"/>
      <c r="M12" s="1" t="e">
        <f t="shared" ca="1" si="0"/>
        <v>#NAME?</v>
      </c>
      <c r="N12" s="1" t="e">
        <f t="shared" ca="1" si="1"/>
        <v>#NAME?</v>
      </c>
      <c r="O12" s="1" t="e">
        <f t="shared" ca="1" si="2"/>
        <v>#NAME?</v>
      </c>
      <c r="P12" s="92"/>
      <c r="Q12" s="93"/>
      <c r="R12" s="69" t="e">
        <f t="shared" ca="1" si="4"/>
        <v>#NAME?</v>
      </c>
      <c r="S12" t="e">
        <f t="shared" ca="1" si="5"/>
        <v>#NAME?</v>
      </c>
      <c r="T12" t="e">
        <f t="shared" ca="1" si="6"/>
        <v>#NAME?</v>
      </c>
      <c r="U12" t="e">
        <f t="shared" ca="1" si="7"/>
        <v>#NAME?</v>
      </c>
      <c r="V12" s="14"/>
      <c r="W12" s="14"/>
      <c r="X12" s="69" t="e">
        <f t="shared" ca="1" si="8"/>
        <v>#NAME?</v>
      </c>
      <c r="Y12" t="e">
        <f t="shared" ca="1" si="9"/>
        <v>#NAME?</v>
      </c>
      <c r="Z12" t="e">
        <f t="shared" ca="1" si="10"/>
        <v>#NAME?</v>
      </c>
      <c r="AA12" t="e">
        <f t="shared" ca="1" si="11"/>
        <v>#NAME?</v>
      </c>
    </row>
    <row r="13" spans="2:27">
      <c r="B13" s="6"/>
      <c r="C13" s="1"/>
      <c r="D13" s="1"/>
      <c r="E13" s="1"/>
      <c r="F13" s="1"/>
      <c r="G13" s="1"/>
      <c r="H13" s="1"/>
      <c r="I13" s="1"/>
      <c r="J13" s="1"/>
      <c r="K13" s="1"/>
      <c r="L13" s="1"/>
      <c r="M13" s="1"/>
      <c r="N13" s="1"/>
      <c r="O13" s="71"/>
      <c r="P13" s="92"/>
      <c r="Q13" s="93"/>
      <c r="V13" s="14"/>
      <c r="W13" s="14"/>
    </row>
    <row r="14" spans="2:27">
      <c r="P14" s="92"/>
      <c r="Q14" s="93"/>
      <c r="V14" s="14"/>
      <c r="W14" s="14"/>
    </row>
    <row r="15" spans="2:27">
      <c r="P15" s="92"/>
      <c r="Q15" s="93"/>
      <c r="V15" s="14"/>
      <c r="W15" s="14"/>
    </row>
    <row r="16" spans="2:27">
      <c r="P16" s="92"/>
      <c r="Q16" s="93"/>
      <c r="V16" s="14"/>
      <c r="W16" s="14"/>
    </row>
    <row r="17" spans="10:24">
      <c r="P17" s="92"/>
      <c r="Q17" s="93"/>
      <c r="V17" s="14"/>
      <c r="W17" s="14"/>
    </row>
    <row r="18" spans="10:24">
      <c r="P18" s="92"/>
      <c r="Q18" s="93"/>
      <c r="V18" s="14"/>
      <c r="W18" s="14"/>
    </row>
    <row r="19" spans="10:24">
      <c r="P19" s="92"/>
      <c r="Q19" s="93"/>
      <c r="V19" s="14"/>
      <c r="W19" s="14"/>
      <c r="X19">
        <v>1</v>
      </c>
    </row>
    <row r="20" spans="10:24">
      <c r="P20" s="92"/>
      <c r="Q20" s="93"/>
      <c r="V20" s="14"/>
      <c r="W20" s="14"/>
    </row>
    <row r="21" spans="10:24">
      <c r="P21" s="92"/>
      <c r="Q21" s="93"/>
      <c r="V21" s="14"/>
      <c r="W21" s="14"/>
    </row>
    <row r="22" spans="10:24">
      <c r="P22" s="92"/>
      <c r="Q22" s="93"/>
      <c r="V22" s="14"/>
      <c r="W22" s="14"/>
    </row>
    <row r="23" spans="10:24">
      <c r="P23" s="92"/>
      <c r="Q23" s="93"/>
      <c r="V23" s="14"/>
      <c r="W23" s="14"/>
    </row>
    <row r="24" spans="10:24">
      <c r="P24" s="92"/>
      <c r="Q24" s="93"/>
      <c r="V24" s="14"/>
      <c r="W24" s="14"/>
    </row>
    <row r="25" spans="10:24">
      <c r="J25" s="96"/>
      <c r="P25" s="92"/>
      <c r="Q25" s="93"/>
      <c r="V25" s="14"/>
      <c r="W25" s="14"/>
    </row>
    <row r="26" spans="10:24">
      <c r="V26" t="s">
        <v>107</v>
      </c>
    </row>
  </sheetData>
  <mergeCells count="2">
    <mergeCell ref="B2:D2"/>
    <mergeCell ref="G3:J3"/>
  </mergeCells>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dimension ref="A2:QO69"/>
  <sheetViews>
    <sheetView zoomScale="70" zoomScaleNormal="70" zoomScalePageLayoutView="70" workbookViewId="0">
      <selection activeCell="J41" sqref="J41"/>
    </sheetView>
  </sheetViews>
  <sheetFormatPr defaultColWidth="8.796875" defaultRowHeight="15.6"/>
  <cols>
    <col min="2" max="2" width="14.19921875" customWidth="1"/>
    <col min="6" max="6" width="12.19921875" customWidth="1"/>
    <col min="8" max="8" width="18.69921875" customWidth="1"/>
    <col min="9" max="9" width="11.796875" customWidth="1"/>
    <col min="10" max="10" width="11" customWidth="1"/>
    <col min="11" max="11" width="11.5" customWidth="1"/>
    <col min="12" max="12" width="12.296875" customWidth="1"/>
    <col min="13" max="13" width="12.69921875" bestFit="1" customWidth="1"/>
    <col min="15" max="17" width="12.69921875" bestFit="1" customWidth="1"/>
    <col min="24" max="24" width="11.5" bestFit="1" customWidth="1"/>
    <col min="25" max="25" width="13.19921875" bestFit="1" customWidth="1"/>
    <col min="26" max="26" width="12.69921875" bestFit="1" customWidth="1"/>
    <col min="29" max="32" width="12.69921875" bestFit="1" customWidth="1"/>
    <col min="33" max="33" width="11.796875" customWidth="1"/>
    <col min="37" max="37" width="12.69921875" customWidth="1"/>
    <col min="38" max="38" width="10.296875" customWidth="1"/>
    <col min="41" max="41" width="12.69921875" bestFit="1" customWidth="1"/>
    <col min="55" max="56" width="12.69921875" bestFit="1" customWidth="1"/>
    <col min="59" max="59" width="12.69921875" bestFit="1" customWidth="1"/>
    <col min="61" max="61" width="11.5" bestFit="1" customWidth="1"/>
    <col min="68" max="68" width="11.5" bestFit="1" customWidth="1"/>
    <col min="81" max="82" width="12.69921875" bestFit="1" customWidth="1"/>
    <col min="101" max="101" width="12.69921875" bestFit="1" customWidth="1"/>
    <col min="107" max="107" width="11.5" bestFit="1" customWidth="1"/>
    <col min="108" max="108" width="12.69921875" bestFit="1" customWidth="1"/>
    <col min="127" max="127" width="12.69921875" bestFit="1" customWidth="1"/>
    <col min="133" max="134" width="12.69921875" bestFit="1" customWidth="1"/>
    <col min="153" max="153" width="13.19921875" bestFit="1" customWidth="1"/>
    <col min="154" max="154" width="12.69921875" bestFit="1" customWidth="1"/>
    <col min="159" max="160" width="12.69921875" bestFit="1" customWidth="1"/>
    <col min="185" max="186" width="12.69921875" bestFit="1" customWidth="1"/>
    <col min="211" max="212" width="12.69921875" bestFit="1" customWidth="1"/>
    <col min="214" max="214" width="12.69921875" bestFit="1" customWidth="1"/>
    <col min="215" max="215" width="11.796875" bestFit="1" customWidth="1"/>
    <col min="224" max="225" width="12.69921875" bestFit="1" customWidth="1"/>
  </cols>
  <sheetData>
    <row r="2" spans="1:457">
      <c r="B2" s="143" t="s">
        <v>0</v>
      </c>
      <c r="C2" s="143"/>
      <c r="D2" s="143"/>
    </row>
    <row r="3" spans="1:457">
      <c r="B3" s="2" t="s">
        <v>3</v>
      </c>
      <c r="C3" s="2" t="s">
        <v>4</v>
      </c>
      <c r="D3" s="2" t="s">
        <v>5</v>
      </c>
      <c r="H3" s="148" t="s">
        <v>190</v>
      </c>
      <c r="I3" s="120"/>
      <c r="J3" s="120"/>
      <c r="K3" s="120"/>
      <c r="L3" s="120"/>
      <c r="AB3" t="s">
        <v>191</v>
      </c>
      <c r="AC3" t="b">
        <v>1</v>
      </c>
      <c r="AE3" t="b">
        <v>1</v>
      </c>
    </row>
    <row r="4" spans="1:457">
      <c r="B4" s="18" t="str">
        <f>Wilson!B4</f>
        <v>Feed FR</v>
      </c>
      <c r="C4" s="109">
        <f>Wilson!C4</f>
        <v>100</v>
      </c>
      <c r="D4" s="109" t="str">
        <f>Wilson!D4</f>
        <v>mol/hr</v>
      </c>
    </row>
    <row r="5" spans="1:457">
      <c r="B5" s="18" t="str">
        <f>Wilson!B5</f>
        <v>Operating Temp.</v>
      </c>
      <c r="C5" s="109">
        <v>300</v>
      </c>
      <c r="D5" s="109" t="str">
        <f>Wilson!D5</f>
        <v>K</v>
      </c>
      <c r="J5" s="68" t="s">
        <v>192</v>
      </c>
      <c r="M5" t="s">
        <v>193</v>
      </c>
      <c r="N5" s="147" t="s">
        <v>194</v>
      </c>
      <c r="O5" s="147"/>
      <c r="P5" s="147"/>
      <c r="Q5" s="147"/>
      <c r="Z5" t="s">
        <v>92</v>
      </c>
      <c r="AA5" t="s">
        <v>93</v>
      </c>
      <c r="AO5" s="89"/>
    </row>
    <row r="6" spans="1:457">
      <c r="B6" s="18" t="str">
        <f>Wilson!B6</f>
        <v>Pressure tank</v>
      </c>
      <c r="C6" s="109">
        <v>101</v>
      </c>
      <c r="D6" s="109" t="str">
        <f>Wilson!D6</f>
        <v>kPa</v>
      </c>
      <c r="E6" s="50" t="s">
        <v>80</v>
      </c>
      <c r="F6" s="50" t="s">
        <v>81</v>
      </c>
      <c r="G6" s="50" t="s">
        <v>82</v>
      </c>
      <c r="H6" s="50" t="s">
        <v>83</v>
      </c>
      <c r="I6" s="50" t="s">
        <v>125</v>
      </c>
      <c r="J6" s="103" t="s">
        <v>195</v>
      </c>
      <c r="K6" s="103" t="s">
        <v>196</v>
      </c>
      <c r="L6" s="53" t="s">
        <v>20</v>
      </c>
      <c r="M6" s="53" t="s">
        <v>197</v>
      </c>
      <c r="N6" s="104" t="s">
        <v>131</v>
      </c>
      <c r="O6" s="104" t="s">
        <v>132</v>
      </c>
      <c r="P6" s="64" t="s">
        <v>133</v>
      </c>
      <c r="Q6" s="64" t="s">
        <v>134</v>
      </c>
      <c r="R6" s="117" t="s">
        <v>137</v>
      </c>
      <c r="S6" s="117" t="s">
        <v>138</v>
      </c>
      <c r="T6" s="117" t="s">
        <v>139</v>
      </c>
      <c r="U6" s="117" t="s">
        <v>140</v>
      </c>
      <c r="V6" s="53" t="s">
        <v>141</v>
      </c>
      <c r="W6" s="53" t="s">
        <v>142</v>
      </c>
      <c r="X6" s="53" t="s">
        <v>143</v>
      </c>
      <c r="Y6" s="81" t="s">
        <v>144</v>
      </c>
      <c r="Z6" s="84" t="s">
        <v>145</v>
      </c>
      <c r="AA6" s="84" t="s">
        <v>145</v>
      </c>
      <c r="AB6" s="64" t="s">
        <v>146</v>
      </c>
      <c r="AC6" s="84" t="s">
        <v>147</v>
      </c>
      <c r="AD6" s="85" t="s">
        <v>148</v>
      </c>
      <c r="AE6" s="85" t="s">
        <v>149</v>
      </c>
      <c r="AF6" s="85" t="s">
        <v>150</v>
      </c>
      <c r="AG6" s="85" t="s">
        <v>151</v>
      </c>
      <c r="AH6" s="85" t="s">
        <v>198</v>
      </c>
      <c r="AI6" s="85" t="s">
        <v>199</v>
      </c>
      <c r="AJ6" s="87" t="s">
        <v>159</v>
      </c>
      <c r="AK6" s="87" t="s">
        <v>200</v>
      </c>
      <c r="AL6" s="87" t="s">
        <v>201</v>
      </c>
      <c r="AM6" s="87" t="s">
        <v>202</v>
      </c>
      <c r="AN6" s="87" t="s">
        <v>203</v>
      </c>
      <c r="AO6" s="88" t="s">
        <v>204</v>
      </c>
      <c r="AP6" s="64" t="s">
        <v>133</v>
      </c>
      <c r="AQ6" s="64" t="s">
        <v>134</v>
      </c>
      <c r="AR6" s="117" t="s">
        <v>137</v>
      </c>
      <c r="AS6" s="117" t="s">
        <v>138</v>
      </c>
      <c r="AT6" s="117" t="s">
        <v>139</v>
      </c>
      <c r="AU6" s="117" t="s">
        <v>140</v>
      </c>
      <c r="AV6" s="53" t="s">
        <v>141</v>
      </c>
      <c r="AW6" s="53" t="s">
        <v>142</v>
      </c>
      <c r="AX6" s="53" t="s">
        <v>143</v>
      </c>
      <c r="AY6" s="81" t="s">
        <v>144</v>
      </c>
      <c r="AZ6" s="84" t="s">
        <v>145</v>
      </c>
      <c r="BA6" s="84" t="s">
        <v>145</v>
      </c>
      <c r="BB6" s="64" t="s">
        <v>146</v>
      </c>
      <c r="BC6" s="84" t="s">
        <v>147</v>
      </c>
      <c r="BD6" s="85" t="s">
        <v>148</v>
      </c>
      <c r="BE6" s="85" t="s">
        <v>149</v>
      </c>
      <c r="BF6" s="85" t="s">
        <v>150</v>
      </c>
      <c r="BG6" s="85" t="s">
        <v>151</v>
      </c>
      <c r="BH6" s="85" t="s">
        <v>198</v>
      </c>
      <c r="BI6" s="85" t="s">
        <v>199</v>
      </c>
      <c r="BJ6" s="87" t="s">
        <v>159</v>
      </c>
      <c r="BK6" s="87" t="s">
        <v>200</v>
      </c>
      <c r="BL6" s="87" t="s">
        <v>201</v>
      </c>
      <c r="BM6" s="87" t="s">
        <v>202</v>
      </c>
      <c r="BN6" s="87" t="s">
        <v>203</v>
      </c>
      <c r="BO6" s="88" t="s">
        <v>204</v>
      </c>
      <c r="BP6" s="64" t="s">
        <v>133</v>
      </c>
      <c r="BQ6" s="64" t="s">
        <v>134</v>
      </c>
      <c r="BR6" s="117" t="s">
        <v>137</v>
      </c>
      <c r="BS6" s="117" t="s">
        <v>138</v>
      </c>
      <c r="BT6" s="117" t="s">
        <v>139</v>
      </c>
      <c r="BU6" s="117" t="s">
        <v>140</v>
      </c>
      <c r="BV6" s="53" t="s">
        <v>141</v>
      </c>
      <c r="BW6" s="53" t="s">
        <v>142</v>
      </c>
      <c r="BX6" s="53" t="s">
        <v>143</v>
      </c>
      <c r="BY6" s="81" t="s">
        <v>144</v>
      </c>
      <c r="BZ6" s="84" t="s">
        <v>145</v>
      </c>
      <c r="CA6" s="84" t="s">
        <v>145</v>
      </c>
      <c r="CB6" s="64" t="s">
        <v>146</v>
      </c>
      <c r="CC6" s="84" t="s">
        <v>147</v>
      </c>
      <c r="CD6" s="85" t="s">
        <v>148</v>
      </c>
      <c r="CE6" s="85" t="s">
        <v>149</v>
      </c>
      <c r="CF6" s="85" t="s">
        <v>150</v>
      </c>
      <c r="CG6" s="85" t="s">
        <v>151</v>
      </c>
      <c r="CH6" s="85" t="s">
        <v>198</v>
      </c>
      <c r="CI6" s="85" t="s">
        <v>199</v>
      </c>
      <c r="CJ6" s="87" t="s">
        <v>159</v>
      </c>
      <c r="CK6" s="87" t="s">
        <v>200</v>
      </c>
      <c r="CL6" s="87" t="s">
        <v>201</v>
      </c>
      <c r="CM6" s="87" t="s">
        <v>202</v>
      </c>
      <c r="CN6" s="87" t="s">
        <v>203</v>
      </c>
      <c r="CO6" s="88" t="s">
        <v>204</v>
      </c>
      <c r="CP6" s="64" t="s">
        <v>133</v>
      </c>
      <c r="CQ6" s="64" t="s">
        <v>134</v>
      </c>
      <c r="CR6" s="117" t="s">
        <v>137</v>
      </c>
      <c r="CS6" s="117" t="s">
        <v>138</v>
      </c>
      <c r="CT6" s="117" t="s">
        <v>139</v>
      </c>
      <c r="CU6" s="117" t="s">
        <v>140</v>
      </c>
      <c r="CV6" s="53" t="s">
        <v>141</v>
      </c>
      <c r="CW6" s="53" t="s">
        <v>142</v>
      </c>
      <c r="CX6" s="53" t="s">
        <v>143</v>
      </c>
      <c r="CY6" s="81" t="s">
        <v>144</v>
      </c>
      <c r="CZ6" s="84" t="s">
        <v>145</v>
      </c>
      <c r="DA6" s="84" t="s">
        <v>145</v>
      </c>
      <c r="DB6" s="64" t="s">
        <v>146</v>
      </c>
      <c r="DC6" s="84" t="s">
        <v>147</v>
      </c>
      <c r="DD6" s="85" t="s">
        <v>148</v>
      </c>
      <c r="DE6" s="85" t="s">
        <v>149</v>
      </c>
      <c r="DF6" s="85" t="s">
        <v>150</v>
      </c>
      <c r="DG6" s="85" t="s">
        <v>151</v>
      </c>
      <c r="DH6" s="85" t="s">
        <v>198</v>
      </c>
      <c r="DI6" s="85" t="s">
        <v>199</v>
      </c>
      <c r="DJ6" s="87" t="s">
        <v>159</v>
      </c>
      <c r="DK6" s="87" t="s">
        <v>200</v>
      </c>
      <c r="DL6" s="87" t="s">
        <v>201</v>
      </c>
      <c r="DM6" s="87" t="s">
        <v>202</v>
      </c>
      <c r="DN6" s="87" t="s">
        <v>203</v>
      </c>
      <c r="DO6" s="88" t="s">
        <v>204</v>
      </c>
      <c r="DP6" s="64" t="s">
        <v>133</v>
      </c>
      <c r="DQ6" s="64" t="s">
        <v>134</v>
      </c>
      <c r="DR6" s="117" t="s">
        <v>137</v>
      </c>
      <c r="DS6" s="117" t="s">
        <v>138</v>
      </c>
      <c r="DT6" s="117" t="s">
        <v>139</v>
      </c>
      <c r="DU6" s="117" t="s">
        <v>140</v>
      </c>
      <c r="DV6" s="53" t="s">
        <v>141</v>
      </c>
      <c r="DW6" s="53" t="s">
        <v>142</v>
      </c>
      <c r="DX6" s="53" t="s">
        <v>143</v>
      </c>
      <c r="DY6" s="81" t="s">
        <v>144</v>
      </c>
      <c r="DZ6" s="84" t="s">
        <v>145</v>
      </c>
      <c r="EA6" s="84" t="s">
        <v>145</v>
      </c>
      <c r="EB6" s="64" t="s">
        <v>146</v>
      </c>
      <c r="EC6" s="84" t="s">
        <v>147</v>
      </c>
      <c r="ED6" s="85" t="s">
        <v>148</v>
      </c>
      <c r="EE6" s="85" t="s">
        <v>149</v>
      </c>
      <c r="EF6" s="85" t="s">
        <v>150</v>
      </c>
      <c r="EG6" s="85" t="s">
        <v>151</v>
      </c>
      <c r="EH6" s="85" t="s">
        <v>198</v>
      </c>
      <c r="EI6" s="85" t="s">
        <v>199</v>
      </c>
      <c r="EJ6" s="87" t="s">
        <v>159</v>
      </c>
      <c r="EK6" s="87" t="s">
        <v>200</v>
      </c>
      <c r="EL6" s="87" t="s">
        <v>201</v>
      </c>
      <c r="EM6" s="87" t="s">
        <v>202</v>
      </c>
      <c r="EN6" s="87" t="s">
        <v>203</v>
      </c>
      <c r="EO6" s="88" t="s">
        <v>204</v>
      </c>
      <c r="EP6" s="64" t="s">
        <v>133</v>
      </c>
      <c r="EQ6" s="64" t="s">
        <v>134</v>
      </c>
      <c r="ER6" s="117" t="s">
        <v>137</v>
      </c>
      <c r="ES6" s="117" t="s">
        <v>138</v>
      </c>
      <c r="ET6" s="117" t="s">
        <v>139</v>
      </c>
      <c r="EU6" s="117" t="s">
        <v>140</v>
      </c>
      <c r="EV6" s="53" t="s">
        <v>141</v>
      </c>
      <c r="EW6" s="53" t="s">
        <v>142</v>
      </c>
      <c r="EX6" s="53" t="s">
        <v>143</v>
      </c>
      <c r="EY6" s="81" t="s">
        <v>144</v>
      </c>
      <c r="EZ6" s="84" t="s">
        <v>145</v>
      </c>
      <c r="FA6" s="84" t="s">
        <v>145</v>
      </c>
      <c r="FB6" s="64" t="s">
        <v>146</v>
      </c>
      <c r="FC6" s="84" t="s">
        <v>147</v>
      </c>
      <c r="FD6" s="85" t="s">
        <v>148</v>
      </c>
      <c r="FE6" s="85" t="s">
        <v>149</v>
      </c>
      <c r="FF6" s="85" t="s">
        <v>150</v>
      </c>
      <c r="FG6" s="85" t="s">
        <v>151</v>
      </c>
      <c r="FH6" s="85" t="s">
        <v>198</v>
      </c>
      <c r="FI6" s="85" t="s">
        <v>199</v>
      </c>
      <c r="FJ6" s="87" t="s">
        <v>159</v>
      </c>
      <c r="FK6" s="87" t="s">
        <v>200</v>
      </c>
      <c r="FL6" s="87" t="s">
        <v>201</v>
      </c>
      <c r="FM6" s="87" t="s">
        <v>202</v>
      </c>
      <c r="FN6" s="87" t="s">
        <v>203</v>
      </c>
      <c r="FO6" s="88" t="s">
        <v>204</v>
      </c>
      <c r="FP6" s="64" t="s">
        <v>133</v>
      </c>
      <c r="FQ6" s="64" t="s">
        <v>134</v>
      </c>
      <c r="FR6" s="117" t="s">
        <v>137</v>
      </c>
      <c r="FS6" s="117" t="s">
        <v>138</v>
      </c>
      <c r="FT6" s="117" t="s">
        <v>139</v>
      </c>
      <c r="FU6" s="117" t="s">
        <v>140</v>
      </c>
      <c r="FV6" s="53" t="s">
        <v>141</v>
      </c>
      <c r="FW6" s="53" t="s">
        <v>142</v>
      </c>
      <c r="FX6" s="53" t="s">
        <v>143</v>
      </c>
      <c r="FY6" s="81" t="s">
        <v>144</v>
      </c>
      <c r="FZ6" s="84" t="s">
        <v>145</v>
      </c>
      <c r="GA6" s="84" t="s">
        <v>145</v>
      </c>
      <c r="GB6" s="64" t="s">
        <v>146</v>
      </c>
      <c r="GC6" s="84" t="s">
        <v>147</v>
      </c>
      <c r="GD6" s="85" t="s">
        <v>148</v>
      </c>
      <c r="GE6" s="85" t="s">
        <v>149</v>
      </c>
      <c r="GF6" s="85" t="s">
        <v>150</v>
      </c>
      <c r="GG6" s="85" t="s">
        <v>151</v>
      </c>
      <c r="GH6" s="85" t="s">
        <v>198</v>
      </c>
      <c r="GI6" s="85" t="s">
        <v>199</v>
      </c>
      <c r="GJ6" s="87" t="s">
        <v>159</v>
      </c>
      <c r="GK6" s="87" t="s">
        <v>200</v>
      </c>
      <c r="GL6" s="87" t="s">
        <v>201</v>
      </c>
      <c r="GM6" s="87" t="s">
        <v>202</v>
      </c>
      <c r="GN6" s="87" t="s">
        <v>203</v>
      </c>
      <c r="GO6" s="88" t="s">
        <v>204</v>
      </c>
      <c r="GP6" s="64" t="s">
        <v>133</v>
      </c>
      <c r="GQ6" s="64" t="s">
        <v>134</v>
      </c>
      <c r="GR6" s="117" t="s">
        <v>137</v>
      </c>
      <c r="GS6" s="117" t="s">
        <v>138</v>
      </c>
      <c r="GT6" s="117" t="s">
        <v>139</v>
      </c>
      <c r="GU6" s="117" t="s">
        <v>140</v>
      </c>
      <c r="GV6" s="53" t="s">
        <v>141</v>
      </c>
      <c r="GW6" s="53" t="s">
        <v>142</v>
      </c>
      <c r="GX6" s="53" t="s">
        <v>143</v>
      </c>
      <c r="GY6" s="81" t="s">
        <v>144</v>
      </c>
      <c r="GZ6" s="84" t="s">
        <v>145</v>
      </c>
      <c r="HA6" s="84" t="s">
        <v>145</v>
      </c>
      <c r="HB6" s="64" t="s">
        <v>146</v>
      </c>
      <c r="HC6" s="84" t="s">
        <v>147</v>
      </c>
      <c r="HD6" s="85" t="s">
        <v>148</v>
      </c>
      <c r="HE6" s="85" t="s">
        <v>149</v>
      </c>
      <c r="HF6" s="85" t="s">
        <v>150</v>
      </c>
      <c r="HG6" s="85" t="s">
        <v>151</v>
      </c>
      <c r="HH6" s="85" t="s">
        <v>198</v>
      </c>
      <c r="HI6" s="85" t="s">
        <v>199</v>
      </c>
      <c r="HJ6" s="87" t="s">
        <v>159</v>
      </c>
      <c r="HK6" s="87" t="s">
        <v>200</v>
      </c>
      <c r="HL6" s="87" t="s">
        <v>201</v>
      </c>
      <c r="HM6" s="87" t="s">
        <v>202</v>
      </c>
      <c r="HN6" s="87" t="s">
        <v>203</v>
      </c>
      <c r="HO6" s="88" t="s">
        <v>204</v>
      </c>
      <c r="HP6" s="64" t="s">
        <v>133</v>
      </c>
      <c r="HQ6" s="64" t="s">
        <v>134</v>
      </c>
      <c r="HR6" s="117" t="s">
        <v>137</v>
      </c>
      <c r="HS6" s="117" t="s">
        <v>138</v>
      </c>
      <c r="HT6" s="117" t="s">
        <v>139</v>
      </c>
      <c r="HU6" s="117" t="s">
        <v>140</v>
      </c>
      <c r="HV6" s="53" t="s">
        <v>141</v>
      </c>
      <c r="HW6" s="53" t="s">
        <v>142</v>
      </c>
      <c r="HX6" s="53" t="s">
        <v>143</v>
      </c>
      <c r="HY6" s="81" t="s">
        <v>144</v>
      </c>
      <c r="HZ6" s="84" t="s">
        <v>145</v>
      </c>
      <c r="IA6" s="84" t="s">
        <v>145</v>
      </c>
      <c r="IB6" s="64" t="s">
        <v>146</v>
      </c>
      <c r="IC6" s="84" t="s">
        <v>147</v>
      </c>
      <c r="ID6" s="85" t="s">
        <v>148</v>
      </c>
      <c r="IE6" s="85" t="s">
        <v>149</v>
      </c>
      <c r="IF6" s="85" t="s">
        <v>150</v>
      </c>
      <c r="IG6" s="85" t="s">
        <v>151</v>
      </c>
      <c r="IH6" s="85" t="s">
        <v>198</v>
      </c>
      <c r="II6" s="85" t="s">
        <v>199</v>
      </c>
      <c r="IJ6" s="87" t="s">
        <v>159</v>
      </c>
      <c r="IK6" s="87" t="s">
        <v>200</v>
      </c>
      <c r="IL6" s="87" t="s">
        <v>201</v>
      </c>
      <c r="IM6" s="87" t="s">
        <v>202</v>
      </c>
      <c r="IN6" s="87" t="s">
        <v>203</v>
      </c>
      <c r="IO6" s="88" t="s">
        <v>204</v>
      </c>
      <c r="IP6" s="64" t="s">
        <v>133</v>
      </c>
      <c r="IQ6" s="64" t="s">
        <v>134</v>
      </c>
      <c r="IR6" s="117" t="s">
        <v>137</v>
      </c>
      <c r="IS6" s="117" t="s">
        <v>138</v>
      </c>
      <c r="IT6" s="117" t="s">
        <v>139</v>
      </c>
      <c r="IU6" s="117" t="s">
        <v>140</v>
      </c>
      <c r="IV6" s="53" t="s">
        <v>141</v>
      </c>
      <c r="IW6" s="53" t="s">
        <v>142</v>
      </c>
      <c r="IX6" s="53" t="s">
        <v>143</v>
      </c>
      <c r="IY6" s="81" t="s">
        <v>144</v>
      </c>
      <c r="IZ6" s="84" t="s">
        <v>145</v>
      </c>
      <c r="JA6" s="84" t="s">
        <v>145</v>
      </c>
      <c r="JB6" s="64" t="s">
        <v>146</v>
      </c>
      <c r="JC6" s="84" t="s">
        <v>147</v>
      </c>
      <c r="JD6" s="85" t="s">
        <v>148</v>
      </c>
      <c r="JE6" s="85" t="s">
        <v>149</v>
      </c>
      <c r="JF6" s="85" t="s">
        <v>150</v>
      </c>
      <c r="JG6" s="85" t="s">
        <v>151</v>
      </c>
      <c r="JH6" s="85" t="s">
        <v>198</v>
      </c>
      <c r="JI6" s="85" t="s">
        <v>199</v>
      </c>
      <c r="JJ6" s="87" t="s">
        <v>159</v>
      </c>
      <c r="JK6" s="87" t="s">
        <v>200</v>
      </c>
      <c r="JL6" s="87" t="s">
        <v>201</v>
      </c>
      <c r="JM6" s="87" t="s">
        <v>202</v>
      </c>
      <c r="JN6" s="87" t="s">
        <v>203</v>
      </c>
      <c r="JO6" s="88" t="s">
        <v>204</v>
      </c>
      <c r="JP6" s="64" t="s">
        <v>133</v>
      </c>
      <c r="JQ6" s="64" t="s">
        <v>134</v>
      </c>
      <c r="JR6" s="117" t="s">
        <v>137</v>
      </c>
      <c r="JS6" s="117" t="s">
        <v>138</v>
      </c>
      <c r="JT6" s="117" t="s">
        <v>139</v>
      </c>
      <c r="JU6" s="117" t="s">
        <v>140</v>
      </c>
      <c r="JV6" s="53" t="s">
        <v>141</v>
      </c>
      <c r="JW6" s="53" t="s">
        <v>142</v>
      </c>
      <c r="JX6" s="53" t="s">
        <v>143</v>
      </c>
      <c r="JY6" s="81" t="s">
        <v>144</v>
      </c>
      <c r="JZ6" s="84" t="s">
        <v>145</v>
      </c>
      <c r="KA6" s="84" t="s">
        <v>145</v>
      </c>
      <c r="KB6" s="64" t="s">
        <v>146</v>
      </c>
      <c r="KC6" s="84" t="s">
        <v>147</v>
      </c>
      <c r="KD6" s="85" t="s">
        <v>148</v>
      </c>
      <c r="KE6" s="85" t="s">
        <v>149</v>
      </c>
      <c r="KF6" s="85" t="s">
        <v>150</v>
      </c>
      <c r="KG6" s="85" t="s">
        <v>151</v>
      </c>
      <c r="KH6" s="85" t="s">
        <v>198</v>
      </c>
      <c r="KI6" s="85" t="s">
        <v>199</v>
      </c>
      <c r="KJ6" s="87" t="s">
        <v>159</v>
      </c>
      <c r="KK6" s="87" t="s">
        <v>200</v>
      </c>
      <c r="KL6" s="87" t="s">
        <v>201</v>
      </c>
      <c r="KM6" s="87" t="s">
        <v>202</v>
      </c>
      <c r="KN6" s="87" t="s">
        <v>203</v>
      </c>
      <c r="KO6" s="88" t="s">
        <v>204</v>
      </c>
      <c r="KP6" s="64" t="s">
        <v>133</v>
      </c>
      <c r="KQ6" s="64" t="s">
        <v>134</v>
      </c>
      <c r="KR6" s="117" t="s">
        <v>137</v>
      </c>
      <c r="KS6" s="117" t="s">
        <v>138</v>
      </c>
      <c r="KT6" s="117" t="s">
        <v>139</v>
      </c>
      <c r="KU6" s="117" t="s">
        <v>140</v>
      </c>
      <c r="KV6" s="53" t="s">
        <v>141</v>
      </c>
      <c r="KW6" s="53" t="s">
        <v>142</v>
      </c>
      <c r="KX6" s="53" t="s">
        <v>143</v>
      </c>
      <c r="KY6" s="81" t="s">
        <v>144</v>
      </c>
      <c r="KZ6" s="84" t="s">
        <v>145</v>
      </c>
      <c r="LA6" s="84" t="s">
        <v>145</v>
      </c>
      <c r="LB6" s="64" t="s">
        <v>146</v>
      </c>
      <c r="LC6" s="84" t="s">
        <v>147</v>
      </c>
      <c r="LD6" s="85" t="s">
        <v>148</v>
      </c>
      <c r="LE6" s="85" t="s">
        <v>149</v>
      </c>
      <c r="LF6" s="85" t="s">
        <v>150</v>
      </c>
      <c r="LG6" s="85" t="s">
        <v>151</v>
      </c>
      <c r="LH6" s="85" t="s">
        <v>198</v>
      </c>
      <c r="LI6" s="85" t="s">
        <v>199</v>
      </c>
      <c r="LJ6" s="87" t="s">
        <v>159</v>
      </c>
      <c r="LK6" s="87" t="s">
        <v>200</v>
      </c>
      <c r="LL6" s="87" t="s">
        <v>201</v>
      </c>
      <c r="LM6" s="87" t="s">
        <v>202</v>
      </c>
      <c r="LN6" s="87" t="s">
        <v>203</v>
      </c>
      <c r="LO6" s="88" t="s">
        <v>204</v>
      </c>
      <c r="LP6" s="64" t="s">
        <v>133</v>
      </c>
      <c r="LQ6" s="64" t="s">
        <v>134</v>
      </c>
      <c r="LR6" s="117" t="s">
        <v>137</v>
      </c>
      <c r="LS6" s="117" t="s">
        <v>138</v>
      </c>
      <c r="LT6" s="117" t="s">
        <v>139</v>
      </c>
      <c r="LU6" s="117" t="s">
        <v>140</v>
      </c>
      <c r="LV6" s="53" t="s">
        <v>141</v>
      </c>
      <c r="LW6" s="53" t="s">
        <v>142</v>
      </c>
      <c r="LX6" s="53" t="s">
        <v>143</v>
      </c>
      <c r="LY6" s="81" t="s">
        <v>144</v>
      </c>
      <c r="LZ6" s="84" t="s">
        <v>145</v>
      </c>
      <c r="MA6" s="84" t="s">
        <v>145</v>
      </c>
      <c r="MB6" s="64" t="s">
        <v>146</v>
      </c>
      <c r="MC6" s="84" t="s">
        <v>147</v>
      </c>
      <c r="MD6" s="85" t="s">
        <v>148</v>
      </c>
      <c r="ME6" s="85" t="s">
        <v>149</v>
      </c>
      <c r="MF6" s="85" t="s">
        <v>150</v>
      </c>
      <c r="MG6" s="85" t="s">
        <v>151</v>
      </c>
      <c r="MH6" s="85" t="s">
        <v>198</v>
      </c>
      <c r="MI6" s="85" t="s">
        <v>199</v>
      </c>
      <c r="MJ6" s="87" t="s">
        <v>159</v>
      </c>
      <c r="MK6" s="87" t="s">
        <v>200</v>
      </c>
      <c r="ML6" s="87" t="s">
        <v>201</v>
      </c>
      <c r="MM6" s="87" t="s">
        <v>202</v>
      </c>
      <c r="MN6" s="87" t="s">
        <v>203</v>
      </c>
      <c r="MO6" s="88" t="s">
        <v>204</v>
      </c>
      <c r="MP6" s="64" t="s">
        <v>133</v>
      </c>
      <c r="MQ6" s="64" t="s">
        <v>134</v>
      </c>
      <c r="MR6" s="117" t="s">
        <v>137</v>
      </c>
      <c r="MS6" s="117" t="s">
        <v>138</v>
      </c>
      <c r="MT6" s="117" t="s">
        <v>139</v>
      </c>
      <c r="MU6" s="117" t="s">
        <v>140</v>
      </c>
      <c r="MV6" s="53" t="s">
        <v>141</v>
      </c>
      <c r="MW6" s="53" t="s">
        <v>142</v>
      </c>
      <c r="MX6" s="53" t="s">
        <v>143</v>
      </c>
      <c r="MY6" s="81" t="s">
        <v>144</v>
      </c>
      <c r="MZ6" s="84" t="s">
        <v>145</v>
      </c>
      <c r="NA6" s="84" t="s">
        <v>145</v>
      </c>
      <c r="NB6" s="64" t="s">
        <v>146</v>
      </c>
      <c r="NC6" s="84" t="s">
        <v>147</v>
      </c>
      <c r="ND6" s="85" t="s">
        <v>148</v>
      </c>
      <c r="NE6" s="85" t="s">
        <v>149</v>
      </c>
      <c r="NF6" s="85" t="s">
        <v>150</v>
      </c>
      <c r="NG6" s="85" t="s">
        <v>151</v>
      </c>
      <c r="NH6" s="85" t="s">
        <v>198</v>
      </c>
      <c r="NI6" s="85" t="s">
        <v>199</v>
      </c>
      <c r="NJ6" s="87" t="s">
        <v>159</v>
      </c>
      <c r="NK6" s="87" t="s">
        <v>200</v>
      </c>
      <c r="NL6" s="87" t="s">
        <v>201</v>
      </c>
      <c r="NM6" s="87" t="s">
        <v>202</v>
      </c>
      <c r="NN6" s="87" t="s">
        <v>203</v>
      </c>
      <c r="NO6" s="88" t="s">
        <v>204</v>
      </c>
      <c r="NP6" s="64" t="s">
        <v>133</v>
      </c>
      <c r="NQ6" s="64" t="s">
        <v>134</v>
      </c>
      <c r="NR6" s="117" t="s">
        <v>137</v>
      </c>
      <c r="NS6" s="117" t="s">
        <v>138</v>
      </c>
      <c r="NT6" s="117" t="s">
        <v>139</v>
      </c>
      <c r="NU6" s="117" t="s">
        <v>140</v>
      </c>
      <c r="NV6" s="53" t="s">
        <v>141</v>
      </c>
      <c r="NW6" s="53" t="s">
        <v>142</v>
      </c>
      <c r="NX6" s="53" t="s">
        <v>143</v>
      </c>
      <c r="NY6" s="81" t="s">
        <v>144</v>
      </c>
      <c r="NZ6" s="84" t="s">
        <v>145</v>
      </c>
      <c r="OA6" s="84" t="s">
        <v>145</v>
      </c>
      <c r="OB6" s="64" t="s">
        <v>146</v>
      </c>
      <c r="OC6" s="84" t="s">
        <v>147</v>
      </c>
      <c r="OD6" s="85" t="s">
        <v>148</v>
      </c>
      <c r="OE6" s="85" t="s">
        <v>149</v>
      </c>
      <c r="OF6" s="85" t="s">
        <v>150</v>
      </c>
      <c r="OG6" s="85" t="s">
        <v>151</v>
      </c>
      <c r="OH6" s="85" t="s">
        <v>198</v>
      </c>
      <c r="OI6" s="85" t="s">
        <v>199</v>
      </c>
      <c r="OJ6" s="87" t="s">
        <v>159</v>
      </c>
      <c r="OK6" s="87" t="s">
        <v>200</v>
      </c>
      <c r="OL6" s="87" t="s">
        <v>201</v>
      </c>
      <c r="OM6" s="87" t="s">
        <v>202</v>
      </c>
      <c r="ON6" s="87" t="s">
        <v>203</v>
      </c>
      <c r="OO6" s="88" t="s">
        <v>204</v>
      </c>
      <c r="OP6" s="64" t="s">
        <v>133</v>
      </c>
      <c r="OQ6" s="64" t="s">
        <v>134</v>
      </c>
      <c r="OR6" s="117" t="s">
        <v>137</v>
      </c>
      <c r="OS6" s="117" t="s">
        <v>138</v>
      </c>
      <c r="OT6" s="117" t="s">
        <v>139</v>
      </c>
      <c r="OU6" s="117" t="s">
        <v>140</v>
      </c>
      <c r="OV6" s="53" t="s">
        <v>141</v>
      </c>
      <c r="OW6" s="53" t="s">
        <v>142</v>
      </c>
      <c r="OX6" s="53" t="s">
        <v>143</v>
      </c>
      <c r="OY6" s="81" t="s">
        <v>144</v>
      </c>
      <c r="OZ6" s="84" t="s">
        <v>145</v>
      </c>
      <c r="PA6" s="84" t="s">
        <v>145</v>
      </c>
      <c r="PB6" s="64" t="s">
        <v>146</v>
      </c>
      <c r="PC6" s="84" t="s">
        <v>147</v>
      </c>
      <c r="PD6" s="85" t="s">
        <v>148</v>
      </c>
      <c r="PE6" s="85" t="s">
        <v>149</v>
      </c>
      <c r="PF6" s="85" t="s">
        <v>150</v>
      </c>
      <c r="PG6" s="85" t="s">
        <v>151</v>
      </c>
      <c r="PH6" s="85" t="s">
        <v>198</v>
      </c>
      <c r="PI6" s="85" t="s">
        <v>199</v>
      </c>
      <c r="PJ6" s="87" t="s">
        <v>159</v>
      </c>
      <c r="PK6" s="87" t="s">
        <v>200</v>
      </c>
      <c r="PL6" s="87" t="s">
        <v>201</v>
      </c>
      <c r="PM6" s="87" t="s">
        <v>202</v>
      </c>
      <c r="PN6" s="87" t="s">
        <v>203</v>
      </c>
      <c r="PO6" s="88" t="s">
        <v>204</v>
      </c>
      <c r="PP6" s="64" t="s">
        <v>133</v>
      </c>
      <c r="PQ6" s="64" t="s">
        <v>134</v>
      </c>
      <c r="PR6" s="117" t="s">
        <v>137</v>
      </c>
      <c r="PS6" s="117" t="s">
        <v>138</v>
      </c>
      <c r="PT6" s="117" t="s">
        <v>139</v>
      </c>
      <c r="PU6" s="117" t="s">
        <v>140</v>
      </c>
      <c r="PV6" s="53" t="s">
        <v>141</v>
      </c>
      <c r="PW6" s="53" t="s">
        <v>142</v>
      </c>
      <c r="PX6" s="53" t="s">
        <v>143</v>
      </c>
      <c r="PY6" s="81" t="s">
        <v>144</v>
      </c>
      <c r="PZ6" s="84" t="s">
        <v>145</v>
      </c>
      <c r="QA6" s="84" t="s">
        <v>145</v>
      </c>
      <c r="QB6" s="64" t="s">
        <v>146</v>
      </c>
      <c r="QC6" s="84" t="s">
        <v>147</v>
      </c>
      <c r="QD6" s="85" t="s">
        <v>148</v>
      </c>
      <c r="QE6" s="85" t="s">
        <v>149</v>
      </c>
      <c r="QF6" s="85" t="s">
        <v>150</v>
      </c>
      <c r="QG6" s="85" t="s">
        <v>151</v>
      </c>
      <c r="QH6" s="85" t="s">
        <v>198</v>
      </c>
      <c r="QI6" s="85" t="s">
        <v>199</v>
      </c>
      <c r="QJ6" s="87" t="s">
        <v>159</v>
      </c>
      <c r="QK6" s="87" t="s">
        <v>200</v>
      </c>
      <c r="QL6" s="87" t="s">
        <v>201</v>
      </c>
      <c r="QM6" s="87" t="s">
        <v>202</v>
      </c>
      <c r="QN6" s="87" t="s">
        <v>203</v>
      </c>
      <c r="QO6" s="88" t="s">
        <v>204</v>
      </c>
    </row>
    <row r="7" spans="1:457">
      <c r="A7">
        <v>1</v>
      </c>
      <c r="B7" s="18" t="str">
        <f>Wilson!B7</f>
        <v xml:space="preserve">MF Ethane </v>
      </c>
      <c r="C7" s="109">
        <f>Wilson!C7</f>
        <v>0.2</v>
      </c>
      <c r="D7" s="109" t="str">
        <f>Wilson!D7</f>
        <v>-</v>
      </c>
      <c r="E7" s="109">
        <f>Wilson!E7</f>
        <v>305.32</v>
      </c>
      <c r="F7" s="109">
        <f>Wilson!F7</f>
        <v>4850</v>
      </c>
      <c r="G7" s="109">
        <f>Wilson!G7</f>
        <v>0.27900000000000003</v>
      </c>
      <c r="H7" s="109">
        <f>Wilson!H7</f>
        <v>9.8000000000000004E-2</v>
      </c>
      <c r="I7" s="109">
        <f>$C$5/E7</f>
        <v>0.98257565832569105</v>
      </c>
      <c r="J7" s="113">
        <f>C7</f>
        <v>0.2</v>
      </c>
      <c r="K7" s="113" t="e">
        <f ca="1">'Wilson BPDP'!W7</f>
        <v>#NAME?</v>
      </c>
      <c r="L7" s="13" t="e">
        <f ca="1">wilson(F7,$K$7,E7,$C$5,H7)</f>
        <v>#NAME?</v>
      </c>
      <c r="M7" s="1" t="e">
        <f ca="1">L7*J7</f>
        <v>#NAME?</v>
      </c>
      <c r="N7" s="1" t="e">
        <f ca="1">a_i($E7,$F7)*alpha($H7,$I7)</f>
        <v>#NAME?</v>
      </c>
      <c r="O7" s="1" t="e">
        <f t="shared" ref="O7:O12" ca="1" si="0">b_i($E7,$F7)</f>
        <v>#NAME?</v>
      </c>
      <c r="P7" s="1" t="e">
        <f ca="1">INDEX(AB_Calc(a_iVal2, b_iVal2,x_iVal2,Kij_Val,COUNTA(Chem2),$AC$3,$C$5,$K$7,BIPset),1)</f>
        <v>#NAME?</v>
      </c>
      <c r="Q7" s="1" t="e">
        <f ca="1">INDEX(AB_Calc(a_iVal2, b_iVal2,x_iVal2,Kij_Val,COUNTA(Chem2),$AC$3,$C$5,$K$7,BIPset),2)</f>
        <v>#NAME?</v>
      </c>
      <c r="R7">
        <v>1</v>
      </c>
      <c r="S7" t="e">
        <f ca="1">-(1-Q7)</f>
        <v>#NAME?</v>
      </c>
      <c r="T7" t="e">
        <f ca="1">(P7-(2*Q7)-(3*Q7^2))</f>
        <v>#NAME?</v>
      </c>
      <c r="U7" t="e">
        <f ca="1">-((P7*Q7)-(Q7^2)-(Q7^3))</f>
        <v>#NAME?</v>
      </c>
      <c r="V7" t="b">
        <f ca="1">IFERROR(INDEX(CardanoMethod(R7:U7),1),FALSE)</f>
        <v>0</v>
      </c>
      <c r="W7" t="b">
        <f ca="1">IFERROR(INDEX(CardanoMethod(R7:U7),2),FALSE)</f>
        <v>0</v>
      </c>
      <c r="X7" t="b">
        <f ca="1">IFERROR(INDEX(CardanoMethod(R7:U7),3),FALSE)</f>
        <v>0</v>
      </c>
      <c r="Y7">
        <f ca="1">MIN(V7:X7)</f>
        <v>0</v>
      </c>
      <c r="Z7" s="1" t="e">
        <f ca="1">IF(C7="","",psi_i(a_iVal2,x_iVal2,A7,Kij_Val,BIPset,$AC$3,COUNTA(Chem2)))</f>
        <v>#NAME?</v>
      </c>
      <c r="AA7" s="1" t="e">
        <f ca="1">IF(C7="","",psi_i(a_iVal2,y_iVal2,A7,Kij_Val,BIPset,$AC$3,COUNTA(Chem2)))</f>
        <v>#NAME?</v>
      </c>
      <c r="AB7" s="1" t="e">
        <f ca="1">psiSUM(a_iVal2,x_iVal2,Kij_Val,BIPset,$AE$3,COUNTA(Chem2))</f>
        <v>#NAME?</v>
      </c>
      <c r="AC7" s="1" t="e">
        <f ca="1">J7*O7</f>
        <v>#NAME?</v>
      </c>
      <c r="AD7" s="1" t="e">
        <f ca="1">M7*O7</f>
        <v>#NAME?</v>
      </c>
      <c r="AE7" s="1" t="e">
        <f ca="1">SUM(AC7:AC16)</f>
        <v>#NAME?</v>
      </c>
      <c r="AF7" s="1" t="e">
        <f ca="1">IF(C7="",0,phi_i($Y$7,$P$7,$Q$7,O7,$AE$7,Z7,$AB$7))</f>
        <v>#NAME?</v>
      </c>
      <c r="AG7" s="1" t="e">
        <f ca="1">IF(C7="",0,phi_i($Y$9,$P$9,$Q$9,O7,$AE$10,AA7,$AB$10))</f>
        <v>#NAME?</v>
      </c>
      <c r="AH7" s="1" t="e">
        <f ca="1">AF7*J7*$K$7</f>
        <v>#NAME?</v>
      </c>
      <c r="AI7" s="1" t="e">
        <f ca="1">AG7*M7*$K$7</f>
        <v>#NAME?</v>
      </c>
      <c r="AJ7" t="e">
        <f ca="1">(1-(AH7/AI7))^2</f>
        <v>#NAME?</v>
      </c>
      <c r="AK7" t="e">
        <f ca="1">SUM(AJ7:AJ16)</f>
        <v>#NAME?</v>
      </c>
      <c r="AL7" t="e">
        <f ca="1">AH7/AG7</f>
        <v>#NAME?</v>
      </c>
      <c r="AM7" t="e">
        <f ca="1">SUM(AL7:AL12)</f>
        <v>#NAME?</v>
      </c>
      <c r="AN7" t="e">
        <f ca="1">AF7/AG7</f>
        <v>#NAME?</v>
      </c>
      <c r="AO7" s="89" t="e">
        <f ca="1">AN7*$J7</f>
        <v>#NAME?</v>
      </c>
      <c r="AP7" s="1" t="e">
        <f ca="1">INDEX(AB_Calc(a_iVal2, b_iVal2,x_iVal2,Kij_Val,COUNTA(Chem2),$AC$3,$C$5,$AM$7,BIPset),1)</f>
        <v>#NAME?</v>
      </c>
      <c r="AQ7" s="1" t="e">
        <f ca="1">INDEX(AB_Calc(a_iVal2, b_iVal2,x_iVal2,Kij_Val,COUNTA(Chem2),$AC$3,$C$5,$AM$7,BIPset),2)</f>
        <v>#NAME?</v>
      </c>
      <c r="AR7">
        <v>1</v>
      </c>
      <c r="AS7" t="e">
        <f ca="1">-(1-AQ7)</f>
        <v>#NAME?</v>
      </c>
      <c r="AT7" t="e">
        <f ca="1">(AP7-(2*AQ7)-(3*AQ7^2))</f>
        <v>#NAME?</v>
      </c>
      <c r="AU7" t="e">
        <f ca="1">-((AP7*AQ7)-(AQ7^2)-(AQ7^3))</f>
        <v>#NAME?</v>
      </c>
      <c r="AV7" t="b">
        <f ca="1">IFERROR(INDEX(CardanoMethod(AR7:AU7),1),FALSE)</f>
        <v>0</v>
      </c>
      <c r="AW7" t="b">
        <f ca="1">IFERROR(INDEX(CardanoMethod(AR7:AU7),2),FALSE)</f>
        <v>0</v>
      </c>
      <c r="AX7" t="b">
        <f ca="1">IFERROR(INDEX(CardanoMethod(AR7:AU7),3),FALSE)</f>
        <v>0</v>
      </c>
      <c r="AY7">
        <f ca="1">MIN(AV7:AX7)</f>
        <v>0</v>
      </c>
      <c r="AZ7" s="1" t="e">
        <f ca="1">IF($C7="","",psi_i(a_iVal2,x_iVal2,$A7,Kij_Val,BIPset,$AC$3,COUNTA(Chem2)))</f>
        <v>#NAME?</v>
      </c>
      <c r="BA7" s="1" t="e">
        <f ca="1">IF($C7="","",psi_i(a_iVal2,y_iVal3,$A7,Kij_Val,BIPset,$AC$3,COUNTA(Chem2)))</f>
        <v>#NAME?</v>
      </c>
      <c r="BB7" s="1" t="e">
        <f ca="1">psiSUM(a_iVal2,x_iVal2,Kij_Val,BIPset,$AE$3,COUNTA(Chem2))</f>
        <v>#NAME?</v>
      </c>
      <c r="BC7" s="1" t="e">
        <f ca="1">$J7*$O7</f>
        <v>#NAME?</v>
      </c>
      <c r="BD7" s="1" t="e">
        <f ca="1">AO7*$O7</f>
        <v>#NAME?</v>
      </c>
      <c r="BE7" s="1" t="e">
        <f ca="1">SUM(BC7:BC16)</f>
        <v>#NAME?</v>
      </c>
      <c r="BF7" s="1" t="e">
        <f ca="1">IF($C7="",0,phi_i($AY$7,$AP$7,$AQ$7,O7,$BE$7,AZ7,$BB$7))</f>
        <v>#NAME?</v>
      </c>
      <c r="BG7" s="1" t="e">
        <f ca="1">IF(AC7="",0,phi_i($AY$9,$AP$9,$AQ$9,O7,$BE$10,BA7,$BB$10))</f>
        <v>#NAME?</v>
      </c>
      <c r="BH7" s="1" t="e">
        <f ca="1">BF7*$J7*$AM$7</f>
        <v>#NAME?</v>
      </c>
      <c r="BI7" s="1" t="e">
        <f ca="1">BG7*AO7*$AM$7</f>
        <v>#NAME?</v>
      </c>
      <c r="BJ7" t="e">
        <f ca="1">(1-(BH7/BI7))^2</f>
        <v>#NAME?</v>
      </c>
      <c r="BK7" t="e">
        <f ca="1">SUM(BJ7:BJ16)</f>
        <v>#NAME?</v>
      </c>
      <c r="BL7" t="e">
        <f ca="1">BH7/BG7</f>
        <v>#NAME?</v>
      </c>
      <c r="BM7" t="e">
        <f ca="1">SUM(BL7:BL12)</f>
        <v>#NAME?</v>
      </c>
      <c r="BN7" t="e">
        <f ca="1">BF7/BG7</f>
        <v>#NAME?</v>
      </c>
      <c r="BO7" s="89" t="e">
        <f ca="1">BN7*$J7</f>
        <v>#NAME?</v>
      </c>
      <c r="BP7" s="1" t="e">
        <f ca="1">INDEX(AB_Calc(a_iVal2, b_iVal2,x_iVal2,Kij_Val,COUNTA(Chem2),$AC$3,$C$5,$BM$7,BIPset),1)</f>
        <v>#NAME?</v>
      </c>
      <c r="BQ7" s="1" t="e">
        <f ca="1">INDEX(AB_Calc(a_iVal2, b_iVal2,x_iVal2,Kij_Val,COUNTA(Chem2),$AC$3,$C$5,$BM$7,BIPset),2)</f>
        <v>#NAME?</v>
      </c>
      <c r="BR7">
        <v>1</v>
      </c>
      <c r="BS7" t="e">
        <f ca="1">-(1-BQ7)</f>
        <v>#NAME?</v>
      </c>
      <c r="BT7" t="e">
        <f ca="1">(BP7-(2*BQ7)-(3*BQ7^2))</f>
        <v>#NAME?</v>
      </c>
      <c r="BU7" t="e">
        <f ca="1">-((BP7*BQ7)-(BQ7^2)-(BQ7^3))</f>
        <v>#NAME?</v>
      </c>
      <c r="BV7" t="b">
        <f ca="1">IFERROR(INDEX(CardanoMethod(BR7:BU7),1),FALSE)</f>
        <v>0</v>
      </c>
      <c r="BW7" t="b">
        <f ca="1">IFERROR(INDEX(CardanoMethod(BR7:BU7),2),FALSE)</f>
        <v>0</v>
      </c>
      <c r="BX7" t="b">
        <f ca="1">IFERROR(INDEX(CardanoMethod(BR7:BU7),3),FALSE)</f>
        <v>0</v>
      </c>
      <c r="BY7">
        <f ca="1">MIN(BV7:BX7)</f>
        <v>0</v>
      </c>
      <c r="BZ7" s="1" t="e">
        <f ca="1">IF($C7="","",psi_i(a_iVal2,x_iVal2,$A7,Kij_Val,BIPset,$AC$3,COUNTA(Chem2)))</f>
        <v>#NAME?</v>
      </c>
      <c r="CA7" s="1" t="e">
        <f ca="1">IF($C7="","",psi_i(a_iVal2,y_iVal4,$A7,Kij_Val,BIPset,$AC$3,COUNTA(Chem2)))</f>
        <v>#NAME?</v>
      </c>
      <c r="CB7" s="1" t="e">
        <f ca="1">psiSUM(a_iVal2,x_iVal2,Kij_Val,BIPset,$AE$3,COUNTA(Chem2))</f>
        <v>#NAME?</v>
      </c>
      <c r="CC7" s="1" t="e">
        <f ca="1">$J7*$O7</f>
        <v>#NAME?</v>
      </c>
      <c r="CD7" s="1" t="e">
        <f ca="1">BO7*$O7</f>
        <v>#NAME?</v>
      </c>
      <c r="CE7" s="1" t="e">
        <f ca="1">SUM(CC7:CC16)</f>
        <v>#NAME?</v>
      </c>
      <c r="CF7" s="1" t="e">
        <f ca="1">IF($C7="",0,phi_i($BY$7,$BP$7,$BQ$7,O7,$CE$7,BZ7,$CB$7))</f>
        <v>#NAME?</v>
      </c>
      <c r="CG7" s="1" t="e">
        <f ca="1">IF($C7="",0,phi_i($BY$9,$BP$9,$BQ$9,O7,$CE$10,$CA$7,$CB$10))</f>
        <v>#NAME?</v>
      </c>
      <c r="CH7" s="1" t="e">
        <f ca="1">CF7*$J7*$BM$7</f>
        <v>#NAME?</v>
      </c>
      <c r="CI7" s="1" t="e">
        <f ca="1">CG7*BO7*$BM$7</f>
        <v>#NAME?</v>
      </c>
      <c r="CJ7" t="e">
        <f ca="1">(1-(CH7/CI7))^2</f>
        <v>#NAME?</v>
      </c>
      <c r="CK7" t="e">
        <f ca="1">SUM(CJ7:CJ16)</f>
        <v>#NAME?</v>
      </c>
      <c r="CL7" t="e">
        <f ca="1">CH7/CG7</f>
        <v>#NAME?</v>
      </c>
      <c r="CM7" t="e">
        <f ca="1">SUM(CL7:CL12)</f>
        <v>#NAME?</v>
      </c>
      <c r="CN7" t="e">
        <f ca="1">CF7/CG7</f>
        <v>#NAME?</v>
      </c>
      <c r="CO7" s="89" t="e">
        <f ca="1">CN7*$J7</f>
        <v>#NAME?</v>
      </c>
      <c r="CP7" s="1" t="e">
        <f ca="1">INDEX(AB_Calc(a_iVal2, b_iVal2,x_iVal2,Kij_Val,COUNTA(Chem2),$AC$3,$C$5,$CM$7,BIPset),1)</f>
        <v>#NAME?</v>
      </c>
      <c r="CQ7" s="1" t="e">
        <f ca="1">INDEX(AB_Calc(a_iVal2, b_iVal2,x_iVal2,Kij_Val,COUNTA(Chem2),$AC$3,$C$5,$CM$7,BIPset),2)</f>
        <v>#NAME?</v>
      </c>
      <c r="CR7">
        <v>1</v>
      </c>
      <c r="CS7" t="e">
        <f ca="1">-(1-CQ7)</f>
        <v>#NAME?</v>
      </c>
      <c r="CT7" t="e">
        <f ca="1">(CP7-(2*CQ7)-(3*CQ7^2))</f>
        <v>#NAME?</v>
      </c>
      <c r="CU7" t="e">
        <f ca="1">-((CP7*CQ7)-(CQ7^2)-(CQ7^3))</f>
        <v>#NAME?</v>
      </c>
      <c r="CV7" t="b">
        <f ca="1">IFERROR(INDEX(CardanoMethod(CR7:CU7),1),FALSE)</f>
        <v>0</v>
      </c>
      <c r="CW7" t="b">
        <f ca="1">IFERROR(INDEX(CardanoMethod(CR7:CU7),2),FALSE)</f>
        <v>0</v>
      </c>
      <c r="CX7" t="b">
        <f ca="1">IFERROR(INDEX(CardanoMethod(CR7:CU7),3),FALSE)</f>
        <v>0</v>
      </c>
      <c r="CY7">
        <f ca="1">MIN(CV7:CX7)</f>
        <v>0</v>
      </c>
      <c r="CZ7" s="1" t="e">
        <f ca="1">IF($C7="","",psi_i(a_iVal2,x_iVal2,$A7,Kij_Val,BIPset,$AC$3,COUNTA(Chem2)))</f>
        <v>#NAME?</v>
      </c>
      <c r="DA7" s="1" t="e">
        <f ca="1">IF($C7="","",psi_i(a_iVal2,y_iVal5,$A7,Kij_Val,BIPset,$AC$3,COUNTA(Chem2)))</f>
        <v>#NAME?</v>
      </c>
      <c r="DB7" s="1" t="e">
        <f ca="1">psiSUM(a_iVal2,x_iVal2,Kij_Val,BIPset,$AE$3,COUNTA(Chem2))</f>
        <v>#NAME?</v>
      </c>
      <c r="DC7" s="1" t="e">
        <f ca="1">$J7*$O7</f>
        <v>#NAME?</v>
      </c>
      <c r="DD7" s="1" t="e">
        <f ca="1">CO7*$O7</f>
        <v>#NAME?</v>
      </c>
      <c r="DE7" s="1" t="e">
        <f ca="1">SUM(DC7:DC16)</f>
        <v>#NAME?</v>
      </c>
      <c r="DF7" s="1" t="e">
        <f ca="1">IF($C7="",0,phi_i($CY$7,$CP$7,$CQ$7,O7,$DE$7,CZ7,$DB$7))</f>
        <v>#NAME?</v>
      </c>
      <c r="DG7" s="1" t="e">
        <f ca="1">IF($C7="",0,phi_i($CY$9,$CP$9,$CQ$9,O7,$DE$10,DA7,$DB$10))</f>
        <v>#NAME?</v>
      </c>
      <c r="DH7" s="1" t="e">
        <f ca="1">DF7*$J7*$CM$7</f>
        <v>#NAME?</v>
      </c>
      <c r="DI7" s="1" t="e">
        <f ca="1">DG7*CO7*$CM$7</f>
        <v>#NAME?</v>
      </c>
      <c r="DJ7" t="e">
        <f ca="1">(1-(DH7/DI7))^2</f>
        <v>#NAME?</v>
      </c>
      <c r="DK7" t="e">
        <f ca="1">SUM(DJ7:DJ16)</f>
        <v>#NAME?</v>
      </c>
      <c r="DL7" t="e">
        <f ca="1">DH7/DG7</f>
        <v>#NAME?</v>
      </c>
      <c r="DM7" t="e">
        <f ca="1">SUM(DL7:DL12)</f>
        <v>#NAME?</v>
      </c>
      <c r="DN7" t="e">
        <f ca="1">DF7/DG7</f>
        <v>#NAME?</v>
      </c>
      <c r="DO7" s="89" t="e">
        <f ca="1">DN7*$J7</f>
        <v>#NAME?</v>
      </c>
      <c r="DP7" s="1" t="e">
        <f ca="1">INDEX(AB_Calc(a_iVal2, b_iVal2,x_iVal2,Kij_Val,COUNTA(Chem2),$AC$3,$C$5,$DM$7,BIPset),1)</f>
        <v>#NAME?</v>
      </c>
      <c r="DQ7" s="1" t="e">
        <f ca="1">INDEX(AB_Calc(a_iVal2, b_iVal2,x_iVal2,Kij_Val,COUNTA(Chem2),$AC$3,$C$5,$DM$7,BIPset),2)</f>
        <v>#NAME?</v>
      </c>
      <c r="DR7">
        <v>1</v>
      </c>
      <c r="DS7" t="e">
        <f ca="1">-(1-DQ7)</f>
        <v>#NAME?</v>
      </c>
      <c r="DT7" t="e">
        <f ca="1">(DP7-(2*DQ7)-(3*DQ7^2))</f>
        <v>#NAME?</v>
      </c>
      <c r="DU7" t="e">
        <f ca="1">-((DP7*DQ7)-(DQ7^2)-(DQ7^3))</f>
        <v>#NAME?</v>
      </c>
      <c r="DV7" t="b">
        <f ca="1">IFERROR(INDEX(CardanoMethod(DR7:DU7),1),FALSE)</f>
        <v>0</v>
      </c>
      <c r="DW7" t="b">
        <f ca="1">IFERROR(INDEX(CardanoMethod(DR7:DU7),2),FALSE)</f>
        <v>0</v>
      </c>
      <c r="DX7" t="b">
        <f ca="1">IFERROR(INDEX(CardanoMethod(DR7:DU7),3),FALSE)</f>
        <v>0</v>
      </c>
      <c r="DY7">
        <f ca="1">MIN(DV7:DX7)</f>
        <v>0</v>
      </c>
      <c r="DZ7" s="1" t="e">
        <f ca="1">IF($C7="","",psi_i(a_iVal2,x_iVal2,$A7,Kij_Val,BIPset,$AC$3,COUNTA(Chem2)))</f>
        <v>#NAME?</v>
      </c>
      <c r="EA7" s="1" t="e">
        <f ca="1">IF($C7="","",psi_i(a_iVal2,y_iVal6,$A7,Kij_Val,BIPset,$AC$3,COUNTA(Chem2)))</f>
        <v>#NAME?</v>
      </c>
      <c r="EB7" s="1" t="e">
        <f ca="1">psiSUM(a_iVal2,x_iVal2,Kij_Val,BIPset,$AE$3,COUNTA(Chem2))</f>
        <v>#NAME?</v>
      </c>
      <c r="EC7" s="1" t="e">
        <f ca="1">$J7*$O7</f>
        <v>#NAME?</v>
      </c>
      <c r="ED7" s="1" t="e">
        <f ca="1">DO7*$O7</f>
        <v>#NAME?</v>
      </c>
      <c r="EE7" s="1" t="e">
        <f ca="1">SUM(EC7:EC16)</f>
        <v>#NAME?</v>
      </c>
      <c r="EF7" s="1" t="e">
        <f ca="1">IF($C7="",0,phi_i($DY$7,$DP$7,$DQ$7,O7,$EE$7,DZ7,$EB$7))</f>
        <v>#NAME?</v>
      </c>
      <c r="EG7" s="1" t="e">
        <f ca="1">IF($C7="",0,phi_i($DY$9,$DP$9,$DQ$9,O7,$EE$10,EA7,$EB$10))</f>
        <v>#NAME?</v>
      </c>
      <c r="EH7" s="1" t="e">
        <f ca="1">EF7*$J7*$DM$7</f>
        <v>#NAME?</v>
      </c>
      <c r="EI7" s="1" t="e">
        <f ca="1">EG7*DO7*$DM$7</f>
        <v>#NAME?</v>
      </c>
      <c r="EJ7" t="e">
        <f ca="1">(1-(EH7/EI7))^2</f>
        <v>#NAME?</v>
      </c>
      <c r="EK7" t="e">
        <f ca="1">SUM(EJ7:EJ16)</f>
        <v>#NAME?</v>
      </c>
      <c r="EL7" t="e">
        <f ca="1">EH7/EG7</f>
        <v>#NAME?</v>
      </c>
      <c r="EM7" t="e">
        <f ca="1">SUM(EL7:EL12)</f>
        <v>#NAME?</v>
      </c>
      <c r="EN7" t="e">
        <f ca="1">EF7/EG7</f>
        <v>#NAME?</v>
      </c>
      <c r="EO7" s="89" t="e">
        <f ca="1">EN7*$J7</f>
        <v>#NAME?</v>
      </c>
      <c r="EP7" s="1" t="e">
        <f ca="1">INDEX(AB_Calc(a_iVal2, b_iVal2,x_iVal2,Kij_Val,COUNTA(Chem2),$AC$3,$C$5,$EM$7,BIPset),1)</f>
        <v>#NAME?</v>
      </c>
      <c r="EQ7" s="1" t="e">
        <f ca="1">INDEX(AB_Calc(a_iVal2, b_iVal2,x_iVal2,Kij_Val,COUNTA(Chem2),$AC$3,$C$5,$EM$7,BIPset),2)</f>
        <v>#NAME?</v>
      </c>
      <c r="ER7">
        <v>1</v>
      </c>
      <c r="ES7" t="e">
        <f ca="1">-(1-EQ7)</f>
        <v>#NAME?</v>
      </c>
      <c r="ET7" t="e">
        <f ca="1">(EP7-(2*EQ7)-(3*EQ7^2))</f>
        <v>#NAME?</v>
      </c>
      <c r="EU7" t="e">
        <f ca="1">-((EP7*EQ7)-(EQ7^2)-(EQ7^3))</f>
        <v>#NAME?</v>
      </c>
      <c r="EV7" t="b">
        <f ca="1">IFERROR(INDEX(CardanoMethod(ER7:EU7),1),FALSE)</f>
        <v>0</v>
      </c>
      <c r="EW7" t="b">
        <f ca="1">IFERROR(INDEX(CardanoMethod(ER7:EU7),2),FALSE)</f>
        <v>0</v>
      </c>
      <c r="EX7" t="b">
        <f ca="1">IFERROR(INDEX(CardanoMethod(ER7:EU7),3),FALSE)</f>
        <v>0</v>
      </c>
      <c r="EY7">
        <f ca="1">MIN(EV7:EX7)</f>
        <v>0</v>
      </c>
      <c r="EZ7" s="1" t="e">
        <f ca="1">IF($C7="","",psi_i(a_iVal2,x_iVal2,$A7,Kij_Val,BIPset,$AC$3,COUNTA(Chem2)))</f>
        <v>#NAME?</v>
      </c>
      <c r="FA7" s="1" t="e">
        <f ca="1">IF($C7="","",psi_i(a_iVal2,y_iVal7,$A7,Kij_Val,BIPset,$AC$3,COUNTA(Chem2)))</f>
        <v>#NAME?</v>
      </c>
      <c r="FB7" s="1" t="e">
        <f ca="1">psiSUM(a_iVal2,x_iVal2,Kij_Val,BIPset,$AE$3,COUNTA(Chem2))</f>
        <v>#NAME?</v>
      </c>
      <c r="FC7" s="1" t="e">
        <f ca="1">$J7*$O7</f>
        <v>#NAME?</v>
      </c>
      <c r="FD7" s="1" t="e">
        <f ca="1">EO7*$O7</f>
        <v>#NAME?</v>
      </c>
      <c r="FE7" s="1" t="e">
        <f ca="1">SUM(FC7:FC16)</f>
        <v>#NAME?</v>
      </c>
      <c r="FF7" s="1" t="e">
        <f ca="1">IF($C7="",0,phi_i($EY$7,$EP$7,$EQ$7,O7,$FE$7,EZ7,$FB$7))</f>
        <v>#NAME?</v>
      </c>
      <c r="FG7" s="1" t="e">
        <f ca="1">IF($C7="",0,phi_i($EY$9,$EP$9,$EQ$9,O7,$FE$10,FA7,$FB$10))</f>
        <v>#NAME?</v>
      </c>
      <c r="FH7" s="1" t="e">
        <f ca="1">FF7*$J7*$EM$7</f>
        <v>#NAME?</v>
      </c>
      <c r="FI7" s="1" t="e">
        <f ca="1">FG7*EO7*$EM$7</f>
        <v>#NAME?</v>
      </c>
      <c r="FJ7" t="e">
        <f ca="1">(1-(FH7/FI7))^2</f>
        <v>#NAME?</v>
      </c>
      <c r="FK7" t="e">
        <f ca="1">SUM(FJ7:FJ16)</f>
        <v>#NAME?</v>
      </c>
      <c r="FL7" t="e">
        <f ca="1">FH7/FG7</f>
        <v>#NAME?</v>
      </c>
      <c r="FM7" t="e">
        <f ca="1">SUM(FL7:FL12)</f>
        <v>#NAME?</v>
      </c>
      <c r="FN7" t="e">
        <f ca="1">FF7/FG7</f>
        <v>#NAME?</v>
      </c>
      <c r="FO7" s="89" t="e">
        <f ca="1">FN7*$J7</f>
        <v>#NAME?</v>
      </c>
      <c r="FP7" s="1" t="e">
        <f ca="1">INDEX(AB_Calc(a_iVal2, b_iVal2,x_iVal2,Kij_Val,COUNTA(Chem2),$AC$3,$C$5,$FM$7,BIPset),1)</f>
        <v>#NAME?</v>
      </c>
      <c r="FQ7" s="1" t="e">
        <f ca="1">INDEX(AB_Calc(a_iVal2, b_iVal2,x_iVal2,Kij_Val,COUNTA(Chem2),$AC$3,$C$5,$FM$7,BIPset),2)</f>
        <v>#NAME?</v>
      </c>
      <c r="FR7">
        <v>1</v>
      </c>
      <c r="FS7" t="e">
        <f ca="1">-(1-FQ7)</f>
        <v>#NAME?</v>
      </c>
      <c r="FT7" t="e">
        <f ca="1">(FP7-(2*FQ7)-(3*FQ7^2))</f>
        <v>#NAME?</v>
      </c>
      <c r="FU7" t="e">
        <f ca="1">-((FP7*FQ7)-(FQ7^2)-(FQ7^3))</f>
        <v>#NAME?</v>
      </c>
      <c r="FV7" t="b">
        <f ca="1">IFERROR(INDEX(CardanoMethod(FR7:FU7),1),FALSE)</f>
        <v>0</v>
      </c>
      <c r="FW7" t="b">
        <f ca="1">IFERROR(INDEX(CardanoMethod(FR7:FU7),2),FALSE)</f>
        <v>0</v>
      </c>
      <c r="FX7" t="b">
        <f ca="1">IFERROR(INDEX(CardanoMethod(FR7:FU7),3),FALSE)</f>
        <v>0</v>
      </c>
      <c r="FY7">
        <f ca="1">MIN(FV7:FX7)</f>
        <v>0</v>
      </c>
      <c r="FZ7" s="1" t="e">
        <f ca="1">IF($C7="","",psi_i(a_iVal2,x_iVal2,$A7,Kij_Val,BIPset,$AC$3,COUNTA(Chem2)))</f>
        <v>#NAME?</v>
      </c>
      <c r="GA7" s="1" t="e">
        <f ca="1">IF($C7="","",psi_i(a_iVal2,y_iVal8,$A7,Kij_Val,BIPset,$AC$3,COUNTA(Chem2)))</f>
        <v>#NAME?</v>
      </c>
      <c r="GB7" s="1" t="e">
        <f ca="1">psiSUM(a_iVal2,x_iVal2,Kij_Val,BIPset,$AE$3,COUNTA(Chem2))</f>
        <v>#NAME?</v>
      </c>
      <c r="GC7" s="1" t="e">
        <f ca="1">$J7*$O7</f>
        <v>#NAME?</v>
      </c>
      <c r="GD7" s="1" t="e">
        <f ca="1">FO7*$O7</f>
        <v>#NAME?</v>
      </c>
      <c r="GE7" s="1" t="e">
        <f ca="1">SUM(GC7:GC16)</f>
        <v>#NAME?</v>
      </c>
      <c r="GF7" s="1" t="e">
        <f ca="1">IF($C7="",0,phi_i($FY$7,$FP$7,$FQ$7,O7,$GE$7,FZ7,$GB$7))</f>
        <v>#NAME?</v>
      </c>
      <c r="GG7" s="1" t="e">
        <f ca="1">IF($C7="",0,phi_i($FY$9,$FP$9,$FQ$9,O7,$GE$10,GA7,$GB$10))</f>
        <v>#NAME?</v>
      </c>
      <c r="GH7" s="1" t="e">
        <f ca="1">GF7*$J7*$FM$7</f>
        <v>#NAME?</v>
      </c>
      <c r="GI7" s="1" t="e">
        <f ca="1">GG7*FO7*$FM$7</f>
        <v>#NAME?</v>
      </c>
      <c r="GJ7" t="e">
        <f ca="1">(1-(GH7/GI7))^2</f>
        <v>#NAME?</v>
      </c>
      <c r="GK7" t="e">
        <f ca="1">SUM(GJ7:GJ16)</f>
        <v>#NAME?</v>
      </c>
      <c r="GL7" t="e">
        <f ca="1">GH7/GG7</f>
        <v>#NAME?</v>
      </c>
      <c r="GM7" t="e">
        <f ca="1">SUM(GL7:GL12)</f>
        <v>#NAME?</v>
      </c>
      <c r="GN7" t="e">
        <f ca="1">GF7/GG7</f>
        <v>#NAME?</v>
      </c>
      <c r="GO7" s="89" t="e">
        <f ca="1">GN7*$J7</f>
        <v>#NAME?</v>
      </c>
      <c r="GP7" s="1" t="e">
        <f ca="1">INDEX(AB_Calc(a_iVal2, b_iVal2,x_iVal2,Kij_Val,COUNTA(Chem2),$AC$3,$C$5,$GM$7,BIPset),1)</f>
        <v>#NAME?</v>
      </c>
      <c r="GQ7" s="1" t="e">
        <f ca="1">INDEX(AB_Calc(a_iVal2, b_iVal2,x_iVal2,Kij_Val,COUNTA(Chem2),$AC$3,$C$5,$GM$7,BIPset),2)</f>
        <v>#NAME?</v>
      </c>
      <c r="GR7">
        <v>1</v>
      </c>
      <c r="GS7" t="e">
        <f ca="1">-(1-GQ7)</f>
        <v>#NAME?</v>
      </c>
      <c r="GT7" t="e">
        <f ca="1">(GP7-(2*GQ7)-(3*GQ7^2))</f>
        <v>#NAME?</v>
      </c>
      <c r="GU7" t="e">
        <f ca="1">-((GP7*GQ7)-(GQ7^2)-(GQ7^3))</f>
        <v>#NAME?</v>
      </c>
      <c r="GV7" t="b">
        <f ca="1">IFERROR(INDEX(CardanoMethod(GR7:GU7),1),FALSE)</f>
        <v>0</v>
      </c>
      <c r="GW7" t="b">
        <f ca="1">IFERROR(INDEX(CardanoMethod(GR7:GU7),2),FALSE)</f>
        <v>0</v>
      </c>
      <c r="GX7" t="b">
        <f ca="1">IFERROR(INDEX(CardanoMethod(GR7:GU7),3),FALSE)</f>
        <v>0</v>
      </c>
      <c r="GY7">
        <f ca="1">MIN(GV7:GX7)</f>
        <v>0</v>
      </c>
      <c r="GZ7" s="1" t="e">
        <f ca="1">IF($C7="","",psi_i(a_iVal2,x_iVal2,$A7,Kij_Val,BIPset,$AC$3,COUNTA(Chem2)))</f>
        <v>#NAME?</v>
      </c>
      <c r="HA7" s="1" t="e">
        <f ca="1">IF($C7="","",psi_i(a_iVal2,y_iVal9,$A7,Kij_Val,BIPset,$AC$3,COUNTA(Chem2)))</f>
        <v>#NAME?</v>
      </c>
      <c r="HB7" s="1" t="e">
        <f ca="1">psiSUM(a_iVal2,x_iVal2,Kij_Val,BIPset,$AE$3,COUNTA(Chem2))</f>
        <v>#NAME?</v>
      </c>
      <c r="HC7" s="1" t="e">
        <f ca="1">$J7*$O7</f>
        <v>#NAME?</v>
      </c>
      <c r="HD7" s="1" t="e">
        <f ca="1">GO7*$O7</f>
        <v>#NAME?</v>
      </c>
      <c r="HE7" s="1" t="e">
        <f ca="1">SUM(HC7:HC16)</f>
        <v>#NAME?</v>
      </c>
      <c r="HF7" s="1" t="e">
        <f ca="1">IF($C7="",0,phi_i($GY$7,$GP$7,$GQ$7,O7,$HE$7,GZ7,$HB$7))</f>
        <v>#NAME?</v>
      </c>
      <c r="HG7" s="1" t="e">
        <f ca="1">IF($C7="",0,phi_i($GY$9,$GP$9,$GQ$9,O7,$HE$10,HA7,$HB$10))</f>
        <v>#NAME?</v>
      </c>
      <c r="HH7" s="1" t="e">
        <f ca="1">HF7*$J7*$GM$7</f>
        <v>#NAME?</v>
      </c>
      <c r="HI7" s="1" t="e">
        <f ca="1">HG7*GO7*$GM$7</f>
        <v>#NAME?</v>
      </c>
      <c r="HJ7" t="e">
        <f ca="1">(1-(HH7/HI7))^2</f>
        <v>#NAME?</v>
      </c>
      <c r="HK7" t="e">
        <f ca="1">SUM(HJ7:HJ16)</f>
        <v>#NAME?</v>
      </c>
      <c r="HL7" t="e">
        <f ca="1">HH7/HG7</f>
        <v>#NAME?</v>
      </c>
      <c r="HM7" t="e">
        <f ca="1">SUM(HL7:HL12)</f>
        <v>#NAME?</v>
      </c>
      <c r="HN7" t="e">
        <f ca="1">HF7/HG7</f>
        <v>#NAME?</v>
      </c>
      <c r="HO7" s="89" t="e">
        <f ca="1">HN7*$J7</f>
        <v>#NAME?</v>
      </c>
      <c r="HP7" s="1" t="e">
        <f ca="1">INDEX(AB_Calc(a_iVal2, b_iVal2,x_iVal2,Kij_Val,COUNTA(Chem2),$AC$3,$C$5,$HM$7,BIPset),1)</f>
        <v>#NAME?</v>
      </c>
      <c r="HQ7" s="1" t="e">
        <f ca="1">INDEX(AB_Calc(a_iVal2, b_iVal2,x_iVal2,Kij_Val,COUNTA(Chem2),$AC$3,$C$5,$HM$7,BIPset),2)</f>
        <v>#NAME?</v>
      </c>
      <c r="HR7">
        <v>1</v>
      </c>
      <c r="HS7" t="e">
        <f ca="1">-(1-HQ7)</f>
        <v>#NAME?</v>
      </c>
      <c r="HT7" t="e">
        <f ca="1">(HP7-(2*HQ7)-(3*HQ7^2))</f>
        <v>#NAME?</v>
      </c>
      <c r="HU7" t="e">
        <f ca="1">-((HP7*HQ7)-(HQ7^2)-(HQ7^3))</f>
        <v>#NAME?</v>
      </c>
      <c r="HV7" t="b">
        <f ca="1">IFERROR(INDEX(CardanoMethod(HR7:HU7),1),FALSE)</f>
        <v>0</v>
      </c>
      <c r="HW7" t="b">
        <f ca="1">IFERROR(INDEX(CardanoMethod(HR7:HU7),2),FALSE)</f>
        <v>0</v>
      </c>
      <c r="HX7" t="b">
        <f ca="1">IFERROR(INDEX(CardanoMethod(HR7:HU7),3),FALSE)</f>
        <v>0</v>
      </c>
      <c r="HY7">
        <f ca="1">MIN(HV7:HX7)</f>
        <v>0</v>
      </c>
      <c r="HZ7" s="1" t="e">
        <f ca="1">IF($C7="","",psi_i(a_iVal2,x_iVal2,$A7,Kij_Val,BIPset,$AC$3,COUNTA(Chem2)))</f>
        <v>#NAME?</v>
      </c>
      <c r="IA7" s="1" t="e">
        <f ca="1">IF($C7="","",psi_i(a_iVal2,y_iVal10,$A7,Kij_Val,BIPset,$AC$3,COUNTA(Chem2)))</f>
        <v>#NAME?</v>
      </c>
      <c r="IB7" s="1" t="e">
        <f ca="1">psiSUM(a_iVal2,x_iVal2,Kij_Val,BIPset,$AE$3,COUNTA(Chem2))</f>
        <v>#NAME?</v>
      </c>
      <c r="IC7" s="1" t="e">
        <f ca="1">$J7*$O7</f>
        <v>#NAME?</v>
      </c>
      <c r="ID7" s="1" t="e">
        <f ca="1">HO7*$O7</f>
        <v>#NAME?</v>
      </c>
      <c r="IE7" s="1" t="e">
        <f ca="1">SUM(IC7:IC16)</f>
        <v>#NAME?</v>
      </c>
      <c r="IF7" s="1" t="e">
        <f ca="1">IF($C7="",0,phi_i($HY$7,$HP$7,$HQ$7,O7,$IE$7,HZ7,$IB$7))</f>
        <v>#NAME?</v>
      </c>
      <c r="IG7" s="1" t="e">
        <f ca="1">IF($C7="",0,phi_i($HY$9,$HP$9,$HQ$9,O7,$IE$10,IA7,$IB$10))</f>
        <v>#NAME?</v>
      </c>
      <c r="IH7" s="1" t="e">
        <f ca="1">IF7*$J7*$HM$7</f>
        <v>#NAME?</v>
      </c>
      <c r="II7" s="1" t="e">
        <f ca="1">IG7*HO7*$HM$7</f>
        <v>#NAME?</v>
      </c>
      <c r="IJ7" t="e">
        <f ca="1">(1-(IH7/II7))^2</f>
        <v>#NAME?</v>
      </c>
      <c r="IK7" t="e">
        <f ca="1">SUM(IJ7:IJ16)</f>
        <v>#NAME?</v>
      </c>
      <c r="IL7" t="e">
        <f ca="1">IH7/IG7</f>
        <v>#NAME?</v>
      </c>
      <c r="IM7" t="e">
        <f ca="1">SUM(IL7:IL12)</f>
        <v>#NAME?</v>
      </c>
      <c r="IN7" t="e">
        <f ca="1">IF7/IG7</f>
        <v>#NAME?</v>
      </c>
      <c r="IO7" s="89" t="e">
        <f ca="1">IN7*$J7</f>
        <v>#NAME?</v>
      </c>
      <c r="IP7" s="1" t="e">
        <f ca="1">INDEX(AB_Calc(a_iVal2, b_iVal2,x_iVal2,Kij_Val,COUNTA(Chem2),$AC$3,$C$5,$IM$7,BIPset),1)</f>
        <v>#NAME?</v>
      </c>
      <c r="IQ7" s="1" t="e">
        <f ca="1">INDEX(AB_Calc(a_iVal2, b_iVal2,x_iVal2,Kij_Val,COUNTA(Chem2),$AC$3,$C$5,$IM$7,BIPset),2)</f>
        <v>#NAME?</v>
      </c>
      <c r="IR7">
        <v>1</v>
      </c>
      <c r="IS7" t="e">
        <f ca="1">-(1-IQ7)</f>
        <v>#NAME?</v>
      </c>
      <c r="IT7" t="e">
        <f ca="1">(IP7-(2*IQ7)-(3*IQ7^2))</f>
        <v>#NAME?</v>
      </c>
      <c r="IU7" t="e">
        <f ca="1">-((IP7*IQ7)-(IQ7^2)-(IQ7^3))</f>
        <v>#NAME?</v>
      </c>
      <c r="IV7" t="b">
        <f ca="1">IFERROR(INDEX(CardanoMethod(IR7:IU7),1),FALSE)</f>
        <v>0</v>
      </c>
      <c r="IW7" t="b">
        <f ca="1">IFERROR(INDEX(CardanoMethod(IR7:IU7),2),FALSE)</f>
        <v>0</v>
      </c>
      <c r="IX7" t="b">
        <f ca="1">IFERROR(INDEX(CardanoMethod(IR7:IU7),3),FALSE)</f>
        <v>0</v>
      </c>
      <c r="IY7">
        <f ca="1">MIN(IV7:IX7)</f>
        <v>0</v>
      </c>
      <c r="IZ7" s="1" t="e">
        <f ca="1">IF($C7="","",psi_i(a_iVal2,x_iVal2,$A7,Kij_Val,BIPset,$AC$3,COUNTA(Chem2)))</f>
        <v>#NAME?</v>
      </c>
      <c r="JA7" s="1" t="e">
        <f ca="1">IF($C7="","",psi_i(a_iVal2,y_iVal11,$A7,Kij_Val,BIPset,$AC$3,COUNTA(Chem2)))</f>
        <v>#NAME?</v>
      </c>
      <c r="JB7" s="1" t="e">
        <f ca="1">psiSUM(a_iVal2,x_iVal2,Kij_Val,BIPset,$AE$3,COUNTA(Chem2))</f>
        <v>#NAME?</v>
      </c>
      <c r="JC7" s="1" t="e">
        <f ca="1">$J7*$O7</f>
        <v>#NAME?</v>
      </c>
      <c r="JD7" s="1" t="e">
        <f ca="1">IO7*$O7</f>
        <v>#NAME?</v>
      </c>
      <c r="JE7" s="1" t="e">
        <f ca="1">SUM(JC7:JC16)</f>
        <v>#NAME?</v>
      </c>
      <c r="JF7" s="1" t="e">
        <f ca="1">IF($C7="",0,phi_i($IY$7,$IP$7,$IQ$7,O7,$JE$7,IZ7,$JB$7))</f>
        <v>#NAME?</v>
      </c>
      <c r="JG7" s="1" t="e">
        <f ca="1">IF($C7="",0,phi_i($IY$9,$IP$9,$IQ$9,O7,$JE$10,JA7,$JB$10))</f>
        <v>#NAME?</v>
      </c>
      <c r="JH7" s="1" t="e">
        <f ca="1">JF7*$J7*$IM$7</f>
        <v>#NAME?</v>
      </c>
      <c r="JI7" s="1" t="e">
        <f ca="1">JG7*IO7*$IM$7</f>
        <v>#NAME?</v>
      </c>
      <c r="JJ7" t="e">
        <f ca="1">(1-(JH7/JI7))^2</f>
        <v>#NAME?</v>
      </c>
      <c r="JK7" t="e">
        <f ca="1">SUM(JJ7:JJ16)</f>
        <v>#NAME?</v>
      </c>
      <c r="JL7" t="e">
        <f ca="1">JH7/JG7</f>
        <v>#NAME?</v>
      </c>
      <c r="JM7" t="e">
        <f ca="1">SUM(JL7:JL12)</f>
        <v>#NAME?</v>
      </c>
      <c r="JN7" t="e">
        <f ca="1">JF7/JG7</f>
        <v>#NAME?</v>
      </c>
      <c r="JO7" s="89" t="e">
        <f ca="1">JN7*$J7</f>
        <v>#NAME?</v>
      </c>
      <c r="JP7" s="1" t="e">
        <f ca="1">INDEX(AB_Calc(a_iVal2, b_iVal2,x_iVal2,Kij_Val,COUNTA(Chem2),$AC$3,$C$5,$JM$7,BIPset),1)</f>
        <v>#NAME?</v>
      </c>
      <c r="JQ7" s="1" t="e">
        <f ca="1">INDEX(AB_Calc(a_iVal2, b_iVal2,x_iVal2,Kij_Val,COUNTA(Chem2),$AC$3,$C$5,$JM$7,BIPset),2)</f>
        <v>#NAME?</v>
      </c>
      <c r="JR7">
        <v>1</v>
      </c>
      <c r="JS7" t="e">
        <f ca="1">-(1-JQ7)</f>
        <v>#NAME?</v>
      </c>
      <c r="JT7" t="e">
        <f ca="1">(JP7-(2*JQ7)-(3*JQ7^2))</f>
        <v>#NAME?</v>
      </c>
      <c r="JU7" t="e">
        <f ca="1">-((JP7*JQ7)-(JQ7^2)-(JQ7^3))</f>
        <v>#NAME?</v>
      </c>
      <c r="JV7" t="b">
        <f ca="1">IFERROR(INDEX(CardanoMethod(JR7:JU7),1),FALSE)</f>
        <v>0</v>
      </c>
      <c r="JW7" t="b">
        <f ca="1">IFERROR(INDEX(CardanoMethod(JR7:JU7),2),FALSE)</f>
        <v>0</v>
      </c>
      <c r="JX7" t="b">
        <f ca="1">IFERROR(INDEX(CardanoMethod(JR7:JU7),3),FALSE)</f>
        <v>0</v>
      </c>
      <c r="JY7">
        <f ca="1">MIN(JV7:JX7)</f>
        <v>0</v>
      </c>
      <c r="JZ7" s="1" t="e">
        <f ca="1">IF($C7="","",psi_i(a_iVal2,x_iVal2,$A7,Kij_Val,BIPset,$AC$3,COUNTA(Chem2)))</f>
        <v>#NAME?</v>
      </c>
      <c r="KA7" s="1" t="e">
        <f ca="1">IF($C7="","",psi_i(a_iVal2,y_iVal12,$A7,Kij_Val,BIPset,$AC$3,COUNTA(Chem2)))</f>
        <v>#NAME?</v>
      </c>
      <c r="KB7" s="1" t="e">
        <f ca="1">psiSUM(a_iVal2,x_iVal2,Kij_Val,BIPset,$AE$3,COUNTA(Chem2))</f>
        <v>#NAME?</v>
      </c>
      <c r="KC7" s="1" t="e">
        <f ca="1">$J7*$O7</f>
        <v>#NAME?</v>
      </c>
      <c r="KD7" s="1" t="e">
        <f ca="1">JO7*$O7</f>
        <v>#NAME?</v>
      </c>
      <c r="KE7" s="1" t="e">
        <f ca="1">SUM(KC7:KC16)</f>
        <v>#NAME?</v>
      </c>
      <c r="KF7" s="1" t="e">
        <f ca="1">IF($C7="",0,phi_i($JY$7,$JP$7,$JQ$7,O7,$KE$7,JZ7,$KB$7))</f>
        <v>#NAME?</v>
      </c>
      <c r="KG7" s="1" t="e">
        <f ca="1">IF($C7="",0,phi_i($JY$9,$JP$9,$JQ$9,O7,$KE$10,KA7,$KB$10))</f>
        <v>#NAME?</v>
      </c>
      <c r="KH7" s="1" t="e">
        <f ca="1">KF7*$J7*$JM$7</f>
        <v>#NAME?</v>
      </c>
      <c r="KI7" s="1" t="e">
        <f ca="1">KG7*JO7*$JM$7</f>
        <v>#NAME?</v>
      </c>
      <c r="KJ7" t="e">
        <f ca="1">(1-(KH7/KI7))^2</f>
        <v>#NAME?</v>
      </c>
      <c r="KK7" t="e">
        <f ca="1">SUM(KJ7:KJ16)</f>
        <v>#NAME?</v>
      </c>
      <c r="KL7" t="e">
        <f ca="1">KH7/KG7</f>
        <v>#NAME?</v>
      </c>
      <c r="KM7" t="e">
        <f ca="1">SUM(KL7:KL12)</f>
        <v>#NAME?</v>
      </c>
      <c r="KN7" t="e">
        <f ca="1">KF7/KG7</f>
        <v>#NAME?</v>
      </c>
      <c r="KO7" s="89" t="e">
        <f ca="1">KN7*$J7</f>
        <v>#NAME?</v>
      </c>
      <c r="KP7" s="1" t="e">
        <f ca="1">INDEX(AB_Calc(a_iVal2, b_iVal2,x_iVal2,Kij_Val,COUNTA(Chem2),$AC$3,$C$5,$KM$7,BIPset),1)</f>
        <v>#NAME?</v>
      </c>
      <c r="KQ7" s="1" t="e">
        <f ca="1">INDEX(AB_Calc(a_iVal2, b_iVal2,x_iVal2,Kij_Val,COUNTA(Chem2),$AC$3,$C$5,$KM$7,BIPset),2)</f>
        <v>#NAME?</v>
      </c>
      <c r="KR7">
        <v>1</v>
      </c>
      <c r="KS7" t="e">
        <f ca="1">-(1-KQ7)</f>
        <v>#NAME?</v>
      </c>
      <c r="KT7" t="e">
        <f ca="1">(KP7-(2*KQ7)-(3*KQ7^2))</f>
        <v>#NAME?</v>
      </c>
      <c r="KU7" t="e">
        <f ca="1">-((KP7*KQ7)-(KQ7^2)-(KQ7^3))</f>
        <v>#NAME?</v>
      </c>
      <c r="KV7" t="b">
        <f ca="1">IFERROR(INDEX(CardanoMethod(KR7:KU7),1),FALSE)</f>
        <v>0</v>
      </c>
      <c r="KW7" t="b">
        <f ca="1">IFERROR(INDEX(CardanoMethod(KR7:KU7),2),FALSE)</f>
        <v>0</v>
      </c>
      <c r="KX7" t="b">
        <f ca="1">IFERROR(INDEX(CardanoMethod(KR7:KU7),3),FALSE)</f>
        <v>0</v>
      </c>
      <c r="KY7">
        <f ca="1">MIN(KV7:KX7)</f>
        <v>0</v>
      </c>
      <c r="KZ7" s="1" t="e">
        <f ca="1">IF($C7="","",psi_i(a_iVal2,x_iVal2,$A7,Kij_Val,BIPset,$AC$3,COUNTA(Chem2)))</f>
        <v>#NAME?</v>
      </c>
      <c r="LA7" s="1" t="e">
        <f ca="1">IF($C7="","",psi_i(a_iVal2,y_iVal13,$A7,Kij_Val,BIPset,$AC$3,COUNTA(Chem2)))</f>
        <v>#NAME?</v>
      </c>
      <c r="LB7" s="1" t="e">
        <f ca="1">psiSUM(a_iVal2,x_iVal2,Kij_Val,BIPset,$AE$3,COUNTA(Chem2))</f>
        <v>#NAME?</v>
      </c>
      <c r="LC7" s="1" t="e">
        <f ca="1">$J7*$O7</f>
        <v>#NAME?</v>
      </c>
      <c r="LD7" s="1" t="e">
        <f ca="1">KO7*$O7</f>
        <v>#NAME?</v>
      </c>
      <c r="LE7" s="1" t="e">
        <f ca="1">SUM(LC7:LC16)</f>
        <v>#NAME?</v>
      </c>
      <c r="LF7" s="1" t="e">
        <f ca="1">IF($C7="",0,phi_i($KY$7,$KP$7,$KQ$7,O7,$LE$7,KZ7,$LB$7))</f>
        <v>#NAME?</v>
      </c>
      <c r="LG7" s="1" t="e">
        <f ca="1">IF($C7="",0,phi_i($KY$9,$KP$9,$KQ$9,O7,$LE$10,LA7,$LB$10))</f>
        <v>#NAME?</v>
      </c>
      <c r="LH7" s="1" t="e">
        <f ca="1">LF7*$J7*$KM$7</f>
        <v>#NAME?</v>
      </c>
      <c r="LI7" s="1" t="e">
        <f ca="1">LG7*KO7*$KM$7</f>
        <v>#NAME?</v>
      </c>
      <c r="LJ7" t="e">
        <f ca="1">(1-(LH7/LI7))^2</f>
        <v>#NAME?</v>
      </c>
      <c r="LK7" t="e">
        <f ca="1">SUM(LJ7:LJ16)</f>
        <v>#NAME?</v>
      </c>
      <c r="LL7" t="e">
        <f ca="1">LH7/LG7</f>
        <v>#NAME?</v>
      </c>
      <c r="LM7" t="e">
        <f ca="1">SUM(LL7:LL12)</f>
        <v>#NAME?</v>
      </c>
      <c r="LN7" t="e">
        <f ca="1">LF7/LG7</f>
        <v>#NAME?</v>
      </c>
      <c r="LO7" s="89" t="e">
        <f ca="1">LN7*$J7</f>
        <v>#NAME?</v>
      </c>
      <c r="LP7" s="1" t="e">
        <f ca="1">INDEX(AB_Calc(a_iVal2, b_iVal2,x_iVal2,Kij_Val,COUNTA(Chem2),$AC$3,$C$5,$LM$7,BIPset),1)</f>
        <v>#NAME?</v>
      </c>
      <c r="LQ7" s="1" t="e">
        <f ca="1">INDEX(AB_Calc(a_iVal2, b_iVal2,x_iVal2,Kij_Val,COUNTA(Chem2),$AC$3,$C$5,$LM$7,BIPset),2)</f>
        <v>#NAME?</v>
      </c>
      <c r="LR7">
        <v>1</v>
      </c>
      <c r="LS7" t="e">
        <f ca="1">-(1-LQ7)</f>
        <v>#NAME?</v>
      </c>
      <c r="LT7" t="e">
        <f ca="1">(LP7-(2*LQ7)-(3*LQ7^2))</f>
        <v>#NAME?</v>
      </c>
      <c r="LU7" t="e">
        <f ca="1">-((LP7*LQ7)-(LQ7^2)-(LQ7^3))</f>
        <v>#NAME?</v>
      </c>
      <c r="LV7" t="b">
        <f ca="1">IFERROR(INDEX(CardanoMethod(LR7:LU7),1),FALSE)</f>
        <v>0</v>
      </c>
      <c r="LW7" t="b">
        <f ca="1">IFERROR(INDEX(CardanoMethod(LR7:LU7),2),FALSE)</f>
        <v>0</v>
      </c>
      <c r="LX7" t="b">
        <f ca="1">IFERROR(INDEX(CardanoMethod(LR7:LU7),3),FALSE)</f>
        <v>0</v>
      </c>
      <c r="LY7">
        <f ca="1">MIN(LV7:LX7)</f>
        <v>0</v>
      </c>
      <c r="LZ7" s="1" t="e">
        <f ca="1">IF($C7="","",psi_i(a_iVal2,x_iVal2,$A7,Kij_Val,BIPset,$AC$3,COUNTA(Chem2)))</f>
        <v>#NAME?</v>
      </c>
      <c r="MA7" s="1" t="e">
        <f ca="1">IF($C7="","",psi_i(a_iVal2,y_iVal14,$A7,Kij_Val,BIPset,$AC$3,COUNTA(Chem2)))</f>
        <v>#NAME?</v>
      </c>
      <c r="MB7" s="1" t="e">
        <f ca="1">psiSUM(a_iVal2,x_iVal2,Kij_Val,BIPset,$AE$3,COUNTA(Chem2))</f>
        <v>#NAME?</v>
      </c>
      <c r="MC7" s="1" t="e">
        <f ca="1">$J7*$O7</f>
        <v>#NAME?</v>
      </c>
      <c r="MD7" s="1" t="e">
        <f ca="1">LO7*$O7</f>
        <v>#NAME?</v>
      </c>
      <c r="ME7" s="1" t="e">
        <f ca="1">SUM(MC7:MC16)</f>
        <v>#NAME?</v>
      </c>
      <c r="MF7" s="1" t="e">
        <f ca="1">IF($C7="",0,phi_i($LY$7,$LP$7,$LQ$7,O7,$ME$7,LZ7,$MB$7))</f>
        <v>#NAME?</v>
      </c>
      <c r="MG7" s="1" t="e">
        <f ca="1">IF($C7="",0,phi_i($LY$9,$LP$9,$LQ$9,O7,$ME$10,MA7,$MB$10))</f>
        <v>#NAME?</v>
      </c>
      <c r="MH7" s="1" t="e">
        <f ca="1">MF7*$J7*$LM$7</f>
        <v>#NAME?</v>
      </c>
      <c r="MI7" s="1" t="e">
        <f ca="1">MG7*LO7*$LM$7</f>
        <v>#NAME?</v>
      </c>
      <c r="MJ7" t="e">
        <f ca="1">(1-(MH7/MI7))^2</f>
        <v>#NAME?</v>
      </c>
      <c r="MK7" t="e">
        <f ca="1">SUM(MJ7:MJ16)</f>
        <v>#NAME?</v>
      </c>
      <c r="ML7" t="e">
        <f ca="1">MH7/MG7</f>
        <v>#NAME?</v>
      </c>
      <c r="MM7" t="e">
        <f ca="1">SUM(ML7:ML12)</f>
        <v>#NAME?</v>
      </c>
      <c r="MN7" t="e">
        <f ca="1">MF7/MG7</f>
        <v>#NAME?</v>
      </c>
      <c r="MO7" s="89" t="e">
        <f ca="1">MN7*$J7</f>
        <v>#NAME?</v>
      </c>
      <c r="MP7" s="1" t="e">
        <f ca="1">INDEX(AB_Calc(a_iVal2, b_iVal2,x_iVal2,Kij_Val,COUNTA(Chem2),$AC$3,$C$5,$MM$7,BIPset),1)</f>
        <v>#NAME?</v>
      </c>
      <c r="MQ7" s="1" t="e">
        <f ca="1">INDEX(AB_Calc(a_iVal2, b_iVal2,x_iVal2,Kij_Val,COUNTA(Chem2),$AC$3,$C$5,$MM$7,BIPset),2)</f>
        <v>#NAME?</v>
      </c>
      <c r="MR7">
        <v>1</v>
      </c>
      <c r="MS7" t="e">
        <f ca="1">-(1-MQ7)</f>
        <v>#NAME?</v>
      </c>
      <c r="MT7" t="e">
        <f ca="1">(MP7-(2*MQ7)-(3*MQ7^2))</f>
        <v>#NAME?</v>
      </c>
      <c r="MU7" t="e">
        <f ca="1">-((MP7*MQ7)-(MQ7^2)-(MQ7^3))</f>
        <v>#NAME?</v>
      </c>
      <c r="MV7" t="b">
        <f ca="1">IFERROR(INDEX(CardanoMethod(MR7:MU7),1),FALSE)</f>
        <v>0</v>
      </c>
      <c r="MW7" t="b">
        <f ca="1">IFERROR(INDEX(CardanoMethod(MR7:MU7),2),FALSE)</f>
        <v>0</v>
      </c>
      <c r="MX7" t="b">
        <f ca="1">IFERROR(INDEX(CardanoMethod(MR7:MU7),3),FALSE)</f>
        <v>0</v>
      </c>
      <c r="MY7">
        <f ca="1">MIN(MV7:MX7)</f>
        <v>0</v>
      </c>
      <c r="MZ7" s="1" t="e">
        <f ca="1">IF($C7="","",psi_i(a_iVal2,x_iVal2,$A7,Kij_Val,BIPset,$AC$3,COUNTA(Chem2)))</f>
        <v>#NAME?</v>
      </c>
      <c r="NA7" s="1" t="e">
        <f ca="1">IF($C7="","",psi_i(a_iVal2,y_iVal15,$A7,Kij_Val,BIPset,$AC$3,COUNTA(Chem2)))</f>
        <v>#NAME?</v>
      </c>
      <c r="NB7" s="1" t="e">
        <f ca="1">psiSUM(a_iVal2,x_iVal2,Kij_Val,BIPset,$AE$3,COUNTA(Chem2))</f>
        <v>#NAME?</v>
      </c>
      <c r="NC7" s="1" t="e">
        <f ca="1">$J7*$O7</f>
        <v>#NAME?</v>
      </c>
      <c r="ND7" s="1" t="e">
        <f ca="1">MO7*$O7</f>
        <v>#NAME?</v>
      </c>
      <c r="NE7" s="1" t="e">
        <f ca="1">SUM(NC7:NC16)</f>
        <v>#NAME?</v>
      </c>
      <c r="NF7" s="1" t="e">
        <f ca="1">IF($C7="",0,phi_i($MY$7,$MP$7,$MQ$7,O7,$NE$7,MZ7,$NB$7))</f>
        <v>#NAME?</v>
      </c>
      <c r="NG7" s="1" t="e">
        <f ca="1">IF($C7="",0,phi_i($MY$9,$MP$9,$MQ$9,O7,$NE$10,NA7,$NB$10))</f>
        <v>#NAME?</v>
      </c>
      <c r="NH7" s="1" t="e">
        <f ca="1">NF7*$J7*$MM$7</f>
        <v>#NAME?</v>
      </c>
      <c r="NI7" s="1" t="e">
        <f ca="1">NG7*MO7*$MM$7</f>
        <v>#NAME?</v>
      </c>
      <c r="NJ7" t="e">
        <f ca="1">(1-(NH7/NI7))^2</f>
        <v>#NAME?</v>
      </c>
      <c r="NK7" t="e">
        <f ca="1">SUM(NJ7:NJ16)</f>
        <v>#NAME?</v>
      </c>
      <c r="NL7" t="e">
        <f ca="1">NH7/NG7</f>
        <v>#NAME?</v>
      </c>
      <c r="NM7" t="e">
        <f ca="1">SUM(NL7:NL12)</f>
        <v>#NAME?</v>
      </c>
      <c r="NN7" t="e">
        <f ca="1">NF7/NG7</f>
        <v>#NAME?</v>
      </c>
      <c r="NO7" s="89" t="e">
        <f ca="1">NN7*$J7</f>
        <v>#NAME?</v>
      </c>
      <c r="NP7" s="1" t="e">
        <f ca="1">INDEX(AB_Calc(a_iVal2, b_iVal2,x_iVal2,Kij_Val,COUNTA(Chem2),$AC$3,$C$5,$NM$7,BIPset),1)</f>
        <v>#NAME?</v>
      </c>
      <c r="NQ7" s="1" t="e">
        <f ca="1">INDEX(AB_Calc(a_iVal2, b_iVal2,x_iVal2,Kij_Val,COUNTA(Chem2),$AC$3,$C$5,$NM$7,BIPset),2)</f>
        <v>#NAME?</v>
      </c>
      <c r="NR7">
        <v>1</v>
      </c>
      <c r="NS7" t="e">
        <f ca="1">-(1-NQ7)</f>
        <v>#NAME?</v>
      </c>
      <c r="NT7" t="e">
        <f ca="1">(NP7-(2*NQ7)-(3*NQ7^2))</f>
        <v>#NAME?</v>
      </c>
      <c r="NU7" t="e">
        <f ca="1">-((NP7*NQ7)-(NQ7^2)-(NQ7^3))</f>
        <v>#NAME?</v>
      </c>
      <c r="NV7" t="b">
        <f ca="1">IFERROR(INDEX(CardanoMethod(NR7:NU7),1),FALSE)</f>
        <v>0</v>
      </c>
      <c r="NW7" t="b">
        <f ca="1">IFERROR(INDEX(CardanoMethod(NR7:NU7),2),FALSE)</f>
        <v>0</v>
      </c>
      <c r="NX7" t="b">
        <f ca="1">IFERROR(INDEX(CardanoMethod(NR7:NU7),3),FALSE)</f>
        <v>0</v>
      </c>
      <c r="NY7">
        <f ca="1">MIN(NV7:NX7)</f>
        <v>0</v>
      </c>
      <c r="NZ7" s="1" t="e">
        <f ca="1">IF($C7="","",psi_i(a_iVal2,x_iVal2,$A7,Kij_Val,BIPset,$AC$3,COUNTA(Chem2)))</f>
        <v>#NAME?</v>
      </c>
      <c r="OA7" s="1" t="e">
        <f ca="1">IF($C7="","",psi_i(a_iVal2,y_iVal16,$A7,Kij_Val,BIPset,$AC$3,COUNTA(Chem2)))</f>
        <v>#NAME?</v>
      </c>
      <c r="OB7" s="1" t="e">
        <f ca="1">psiSUM(a_iVal2,x_iVal2,Kij_Val,BIPset,$AE$3,COUNTA(Chem2))</f>
        <v>#NAME?</v>
      </c>
      <c r="OC7" s="1" t="e">
        <f ca="1">$J7*$O7</f>
        <v>#NAME?</v>
      </c>
      <c r="OD7" s="1" t="e">
        <f ca="1">NO7*$O7</f>
        <v>#NAME?</v>
      </c>
      <c r="OE7" s="1" t="e">
        <f ca="1">SUM(OC7:OC16)</f>
        <v>#NAME?</v>
      </c>
      <c r="OF7" s="1" t="e">
        <f ca="1">IF($C7="",0,phi_i($NY$7,$NP$7,$NQ$7,O7,$OE$7,NZ7,$OB$7))</f>
        <v>#NAME?</v>
      </c>
      <c r="OG7" s="1" t="e">
        <f ca="1">IF($C7="",0,phi_i($NY$9,$NP$9,$NQ$9,O7,$OE$10,OA7,$OB$10))</f>
        <v>#NAME?</v>
      </c>
      <c r="OH7" s="1" t="e">
        <f ca="1">OF7*$J7*$NM$7</f>
        <v>#NAME?</v>
      </c>
      <c r="OI7" s="1" t="e">
        <f ca="1">OG7*NO7*$NM$7</f>
        <v>#NAME?</v>
      </c>
      <c r="OJ7" t="e">
        <f ca="1">(1-(OH7/OI7))^2</f>
        <v>#NAME?</v>
      </c>
      <c r="OK7" t="e">
        <f ca="1">SUM(OJ7:OJ16)</f>
        <v>#NAME?</v>
      </c>
      <c r="OL7" t="e">
        <f ca="1">OH7/OG7</f>
        <v>#NAME?</v>
      </c>
      <c r="OM7" t="e">
        <f ca="1">SUM(OL7:OL12)</f>
        <v>#NAME?</v>
      </c>
      <c r="ON7" t="e">
        <f ca="1">OF7/OG7</f>
        <v>#NAME?</v>
      </c>
      <c r="OO7" s="89" t="e">
        <f ca="1">ON7*$J7</f>
        <v>#NAME?</v>
      </c>
      <c r="OP7" s="1" t="e">
        <f ca="1">INDEX(AB_Calc(a_iVal2, b_iVal2,x_iVal2,Kij_Val,COUNTA(Chem2),$AC$3,$C$5,$OM$7,BIPset),1)</f>
        <v>#NAME?</v>
      </c>
      <c r="OQ7" s="1" t="e">
        <f ca="1">INDEX(AB_Calc(a_iVal2, b_iVal2,x_iVal2,Kij_Val,COUNTA(Chem2),$AC$3,$C$5,$OM$7,BIPset),2)</f>
        <v>#NAME?</v>
      </c>
      <c r="OR7">
        <v>1</v>
      </c>
      <c r="OS7" t="e">
        <f ca="1">-(1-OQ7)</f>
        <v>#NAME?</v>
      </c>
      <c r="OT7" t="e">
        <f ca="1">(OP7-(2*OQ7)-(3*OQ7^2))</f>
        <v>#NAME?</v>
      </c>
      <c r="OU7" t="e">
        <f ca="1">-((OP7*OQ7)-(OQ7^2)-(OQ7^3))</f>
        <v>#NAME?</v>
      </c>
      <c r="OV7" t="b">
        <f ca="1">IFERROR(INDEX(CardanoMethod(OR7:OU7),1),FALSE)</f>
        <v>0</v>
      </c>
      <c r="OW7" t="b">
        <f ca="1">IFERROR(INDEX(CardanoMethod(OR7:OU7),2),FALSE)</f>
        <v>0</v>
      </c>
      <c r="OX7" t="b">
        <f ca="1">IFERROR(INDEX(CardanoMethod(OR7:OU7),3),FALSE)</f>
        <v>0</v>
      </c>
      <c r="OY7">
        <f ca="1">MIN(OV7:OX7)</f>
        <v>0</v>
      </c>
      <c r="OZ7" s="1" t="e">
        <f ca="1">IF($C7="","",psi_i(a_iVal2,x_iVal2,$A7,Kij_Val,BIPset,$AC$3,COUNTA(Chem2)))</f>
        <v>#NAME?</v>
      </c>
      <c r="PA7" s="1" t="e">
        <f ca="1">IF($C7="","",psi_i(a_iVal2,y_iVal17,$A7,Kij_Val,BIPset,$AC$3,COUNTA(Chem2)))</f>
        <v>#NAME?</v>
      </c>
      <c r="PB7" s="1" t="e">
        <f ca="1">psiSUM(a_iVal2,x_iVal2,Kij_Val,BIPset,$AE$3,COUNTA(Chem2))</f>
        <v>#NAME?</v>
      </c>
      <c r="PC7" s="1" t="e">
        <f ca="1">$J7*$O7</f>
        <v>#NAME?</v>
      </c>
      <c r="PD7" s="1" t="e">
        <f ca="1">OO7*$O7</f>
        <v>#NAME?</v>
      </c>
      <c r="PE7" s="1" t="e">
        <f ca="1">SUM(PC7:PC16)</f>
        <v>#NAME?</v>
      </c>
      <c r="PF7" s="1" t="e">
        <f ca="1">IF($C7="",0,phi_i($OY$7,$OP$7,$OQ$7,O7,$PE$7,OZ7,$PB$7))</f>
        <v>#NAME?</v>
      </c>
      <c r="PG7" s="1" t="e">
        <f ca="1">IF($C7="",0,phi_i($OY$9,$OP$9,$OQ$9,O7,$PE$10,PA7,$PB$10))</f>
        <v>#NAME?</v>
      </c>
      <c r="PH7" s="1" t="e">
        <f ca="1">PF7*$J7*$OM$7</f>
        <v>#NAME?</v>
      </c>
      <c r="PI7" s="1" t="e">
        <f ca="1">PG7*OO7*$OM$7</f>
        <v>#NAME?</v>
      </c>
      <c r="PJ7" t="e">
        <f ca="1">(1-(PH7/PI7))^2</f>
        <v>#NAME?</v>
      </c>
      <c r="PK7" t="e">
        <f ca="1">SUM(PJ7:PJ16)</f>
        <v>#NAME?</v>
      </c>
      <c r="PL7" t="e">
        <f ca="1">PH7/PG7</f>
        <v>#NAME?</v>
      </c>
      <c r="PM7" t="e">
        <f ca="1">SUM(PL7:PL12)</f>
        <v>#NAME?</v>
      </c>
      <c r="PN7" t="e">
        <f ca="1">PF7/PG7</f>
        <v>#NAME?</v>
      </c>
      <c r="PO7" s="89" t="e">
        <f ca="1">PN7*$J7</f>
        <v>#NAME?</v>
      </c>
      <c r="PP7" s="1" t="e">
        <f ca="1">INDEX(AB_Calc(a_iVal2, b_iVal2,x_iVal2,Kij_Val,COUNTA(Chem2),$AC$3,$C$5,$PM$7,BIPset),1)</f>
        <v>#NAME?</v>
      </c>
      <c r="PQ7" s="1" t="e">
        <f ca="1">INDEX(AB_Calc(a_iVal2, b_iVal2,x_iVal2,Kij_Val,COUNTA(Chem2),$AC$3,$C$5,$PM$7,BIPset),2)</f>
        <v>#NAME?</v>
      </c>
      <c r="PR7">
        <v>1</v>
      </c>
      <c r="PS7" t="e">
        <f ca="1">-(1-PQ7)</f>
        <v>#NAME?</v>
      </c>
      <c r="PT7" t="e">
        <f ca="1">(PP7-(2*PQ7)-(3*PQ7^2))</f>
        <v>#NAME?</v>
      </c>
      <c r="PU7" t="e">
        <f ca="1">-((PP7*PQ7)-(PQ7^2)-(PQ7^3))</f>
        <v>#NAME?</v>
      </c>
      <c r="PV7" t="b">
        <f ca="1">IFERROR(INDEX(CardanoMethod(PR7:PU7),1),FALSE)</f>
        <v>0</v>
      </c>
      <c r="PW7" t="b">
        <f ca="1">IFERROR(INDEX(CardanoMethod(PR7:PU7),2),FALSE)</f>
        <v>0</v>
      </c>
      <c r="PX7" t="b">
        <f ca="1">IFERROR(INDEX(CardanoMethod(PR7:PU7),3),FALSE)</f>
        <v>0</v>
      </c>
      <c r="PY7">
        <f ca="1">MIN(PV7:PX7)</f>
        <v>0</v>
      </c>
      <c r="PZ7" s="1" t="e">
        <f ca="1">IF($C7="","",psi_i(a_iVal2,x_iVal2,$A7,Kij_Val,BIPset,$AC$3,COUNTA(Chem2)))</f>
        <v>#NAME?</v>
      </c>
      <c r="QA7" s="1" t="e">
        <f ca="1">IF($C7="","",psi_i(a_iVal2,y_iVal18,$A7,Kij_Val,BIPset,$AC$3,COUNTA(Chem2)))</f>
        <v>#NAME?</v>
      </c>
      <c r="QB7" s="1" t="e">
        <f ca="1">psiSUM(a_iVal2,x_iVal2,Kij_Val,BIPset,$AE$3,COUNTA(Chem2))</f>
        <v>#NAME?</v>
      </c>
      <c r="QC7" s="1" t="e">
        <f ca="1">$J7*$O7</f>
        <v>#NAME?</v>
      </c>
      <c r="QD7" s="1" t="e">
        <f ca="1">PO7*$O7</f>
        <v>#NAME?</v>
      </c>
      <c r="QE7" s="1" t="e">
        <f ca="1">SUM(QC7:QC16)</f>
        <v>#NAME?</v>
      </c>
      <c r="QF7" s="1" t="e">
        <f ca="1">IF($C7="",0,phi_i($PY$7,$PP$7,$PQ$7,O7,$QE$7,PZ7,$QB$7))</f>
        <v>#NAME?</v>
      </c>
      <c r="QG7" s="1" t="e">
        <f ca="1">IF($C7="",0,phi_i($PY$9,$PP$9,$PQ$9,O7,$QE$10,QA7,$QB$10))</f>
        <v>#NAME?</v>
      </c>
      <c r="QH7" s="1" t="e">
        <f ca="1">QF7*$J7*$PM$7</f>
        <v>#NAME?</v>
      </c>
      <c r="QI7" s="1" t="e">
        <f ca="1">QG7*PO7*$PM$7</f>
        <v>#NAME?</v>
      </c>
      <c r="QJ7" t="e">
        <f ca="1">(1-(QH7/QI7))^2</f>
        <v>#NAME?</v>
      </c>
      <c r="QK7" t="e">
        <f ca="1">SUM(QJ7:QJ16)</f>
        <v>#NAME?</v>
      </c>
      <c r="QL7" t="e">
        <f ca="1">QH7/QG7</f>
        <v>#NAME?</v>
      </c>
      <c r="QM7" t="e">
        <f ca="1">SUM(QL7:QL12)</f>
        <v>#NAME?</v>
      </c>
      <c r="QN7" t="e">
        <f ca="1">QF7/QG7</f>
        <v>#NAME?</v>
      </c>
      <c r="QO7" s="89" t="e">
        <f ca="1">QN7*$J7</f>
        <v>#NAME?</v>
      </c>
    </row>
    <row r="8" spans="1:457">
      <c r="A8">
        <f>A7+1</f>
        <v>2</v>
      </c>
      <c r="B8" s="18" t="str">
        <f>Wilson!B8</f>
        <v>MF Pentane</v>
      </c>
      <c r="C8" s="109">
        <f>Wilson!C8</f>
        <v>0.2</v>
      </c>
      <c r="D8" s="109" t="str">
        <f>Wilson!D8</f>
        <v>-</v>
      </c>
      <c r="E8" s="109">
        <f>Wilson!E8</f>
        <v>469.7</v>
      </c>
      <c r="F8" s="109">
        <f>Wilson!F8</f>
        <v>3360</v>
      </c>
      <c r="G8" s="109">
        <f>Wilson!G8</f>
        <v>0.27100000000000002</v>
      </c>
      <c r="H8" s="109">
        <f>Wilson!H8</f>
        <v>0.251</v>
      </c>
      <c r="I8" s="109">
        <f t="shared" ref="I8:I12" si="1">$C$5/E8</f>
        <v>0.63870555673834362</v>
      </c>
      <c r="J8" s="113">
        <f t="shared" ref="J8:J12" si="2">C8</f>
        <v>0.2</v>
      </c>
      <c r="K8" s="113"/>
      <c r="L8" s="13" t="e">
        <f t="shared" ref="L8:L12" ca="1" si="3">wilson(F8,$K$7,E8,$C$5,H8)</f>
        <v>#NAME?</v>
      </c>
      <c r="M8" s="1" t="e">
        <f t="shared" ref="M8:M12" ca="1" si="4">L8*J8</f>
        <v>#NAME?</v>
      </c>
      <c r="N8" s="1" t="e">
        <f ca="1">a_i($E8,$F8)*alpha($H8,$I8)</f>
        <v>#NAME?</v>
      </c>
      <c r="O8" s="1" t="e">
        <f t="shared" ca="1" si="0"/>
        <v>#NAME?</v>
      </c>
      <c r="P8" s="64" t="s">
        <v>135</v>
      </c>
      <c r="Q8" s="64" t="s">
        <v>136</v>
      </c>
      <c r="R8" s="117" t="s">
        <v>137</v>
      </c>
      <c r="S8" s="117" t="s">
        <v>138</v>
      </c>
      <c r="T8" s="117" t="s">
        <v>139</v>
      </c>
      <c r="U8" s="117" t="s">
        <v>140</v>
      </c>
      <c r="V8" s="53" t="s">
        <v>141</v>
      </c>
      <c r="W8" s="53" t="s">
        <v>142</v>
      </c>
      <c r="X8" s="53" t="s">
        <v>143</v>
      </c>
      <c r="Y8" s="81" t="s">
        <v>175</v>
      </c>
      <c r="Z8" s="1" t="e">
        <f ca="1">IF(C8="","",psi_i(a_iVal2,x_iVal2,A8,Kij_Val,BIPset,$AC$3,COUNTA(Chem2)))</f>
        <v>#NAME?</v>
      </c>
      <c r="AA8" s="1" t="e">
        <f ca="1">IF(C8="","",psi_i(a_iVal2,y_iVal2,A8,Kij_Val,BIPset,$AC$3,COUNTA(Chem2)))</f>
        <v>#NAME?</v>
      </c>
      <c r="AB8" s="1"/>
      <c r="AC8" s="1" t="e">
        <f t="shared" ref="AC8:AC12" ca="1" si="5">J8*O8</f>
        <v>#NAME?</v>
      </c>
      <c r="AD8" s="1" t="e">
        <f t="shared" ref="AD8:AD12" ca="1" si="6">M8*O8</f>
        <v>#NAME?</v>
      </c>
      <c r="AE8" s="1"/>
      <c r="AF8" s="1" t="e">
        <f ca="1">IF(C8="",0,phi_i($Y$7,$P$7,$Q$7,O8,$AE$7,Z8,$AB$7))</f>
        <v>#NAME?</v>
      </c>
      <c r="AG8" s="1" t="e">
        <f ca="1">IF(C8="",0,phi_i($Y$9,$P$9,$Q$9,O8,$AE$10,AA8,$AB$10))</f>
        <v>#NAME?</v>
      </c>
      <c r="AH8" s="1" t="e">
        <f t="shared" ref="AH8:AH12" ca="1" si="7">AF8*J8*$K$7</f>
        <v>#NAME?</v>
      </c>
      <c r="AI8" s="1" t="e">
        <f t="shared" ref="AI8:AI12" ca="1" si="8">AG8*M8*$K$7</f>
        <v>#NAME?</v>
      </c>
      <c r="AJ8" t="e">
        <f t="shared" ref="AJ8:AJ12" ca="1" si="9">(1-(AH8/AI8))^2</f>
        <v>#NAME?</v>
      </c>
      <c r="AL8" t="e">
        <f t="shared" ref="AL8:AL12" ca="1" si="10">AH8/AG8</f>
        <v>#NAME?</v>
      </c>
      <c r="AN8" t="e">
        <f t="shared" ref="AN8:AN12" ca="1" si="11">AF8/AG8</f>
        <v>#NAME?</v>
      </c>
      <c r="AO8" s="89" t="e">
        <f t="shared" ref="AO8:AO12" ca="1" si="12">AN8*$J8</f>
        <v>#NAME?</v>
      </c>
      <c r="AP8" s="64" t="s">
        <v>135</v>
      </c>
      <c r="AQ8" s="64" t="s">
        <v>136</v>
      </c>
      <c r="AR8" s="117" t="s">
        <v>137</v>
      </c>
      <c r="AS8" s="117" t="s">
        <v>138</v>
      </c>
      <c r="AT8" s="117" t="s">
        <v>139</v>
      </c>
      <c r="AU8" s="117" t="s">
        <v>140</v>
      </c>
      <c r="AV8" s="53" t="s">
        <v>141</v>
      </c>
      <c r="AW8" s="53" t="s">
        <v>142</v>
      </c>
      <c r="AX8" s="53" t="s">
        <v>143</v>
      </c>
      <c r="AY8" s="81" t="s">
        <v>175</v>
      </c>
      <c r="AZ8" s="1" t="e">
        <f ca="1">IF($C8="","",psi_i(a_iVal2,x_iVal2,$A8,Kij_Val,BIPset,$AC$3,COUNTA(Chem2)))</f>
        <v>#NAME?</v>
      </c>
      <c r="BA8" s="1" t="e">
        <f ca="1">IF($C8="","",psi_i(a_iVal2,y_iVal3,$A8,Kij_Val,BIPset,$AC$3,COUNTA(Chem2)))</f>
        <v>#NAME?</v>
      </c>
      <c r="BB8" s="1"/>
      <c r="BC8" s="1" t="e">
        <f t="shared" ref="BC8:BC12" ca="1" si="13">$J8*$O8</f>
        <v>#NAME?</v>
      </c>
      <c r="BD8" s="1" t="e">
        <f t="shared" ref="BD8:BD12" ca="1" si="14">AO8*$O8</f>
        <v>#NAME?</v>
      </c>
      <c r="BE8" s="1"/>
      <c r="BF8" s="1" t="e">
        <f ca="1">IF($C8="",0,phi_i($AY$7,$AP$7,$AQ$7,O8,$BE$7,AZ8,$BB$7))</f>
        <v>#NAME?</v>
      </c>
      <c r="BG8" s="1" t="e">
        <f ca="1">IF(AC8="",0,phi_i($AY$9,$AP$9,$AQ$9,O8,$BE$10,BA8,$BB$10))</f>
        <v>#NAME?</v>
      </c>
      <c r="BH8" s="1" t="e">
        <f t="shared" ref="BH8:BH12" ca="1" si="15">BF8*$J8*$AM$7</f>
        <v>#NAME?</v>
      </c>
      <c r="BI8" s="1" t="e">
        <f t="shared" ref="BI8:BI12" ca="1" si="16">BG8*AO8*$AM$7</f>
        <v>#NAME?</v>
      </c>
      <c r="BJ8" t="e">
        <f t="shared" ref="BJ8:BJ12" ca="1" si="17">(1-(BH8/BI8))^2</f>
        <v>#NAME?</v>
      </c>
      <c r="BL8" t="e">
        <f t="shared" ref="BL8:BL12" ca="1" si="18">BH8/BG8</f>
        <v>#NAME?</v>
      </c>
      <c r="BN8" t="e">
        <f t="shared" ref="BN8:BN12" ca="1" si="19">BF8/BG8</f>
        <v>#NAME?</v>
      </c>
      <c r="BO8" s="89" t="e">
        <f t="shared" ref="BO8:BO15" ca="1" si="20">BN8*$J8</f>
        <v>#NAME?</v>
      </c>
      <c r="BP8" s="64" t="s">
        <v>135</v>
      </c>
      <c r="BQ8" s="64" t="s">
        <v>136</v>
      </c>
      <c r="BR8" s="117" t="s">
        <v>137</v>
      </c>
      <c r="BS8" s="117" t="s">
        <v>138</v>
      </c>
      <c r="BT8" s="117" t="s">
        <v>139</v>
      </c>
      <c r="BU8" s="117" t="s">
        <v>140</v>
      </c>
      <c r="BV8" s="53" t="s">
        <v>141</v>
      </c>
      <c r="BW8" s="53" t="s">
        <v>142</v>
      </c>
      <c r="BX8" s="53" t="s">
        <v>143</v>
      </c>
      <c r="BY8" s="81" t="s">
        <v>175</v>
      </c>
      <c r="BZ8" s="1" t="e">
        <f ca="1">IF($C8="","",psi_i(a_iVal2,x_iVal2,$A8,Kij_Val,BIPset,$AC$3,COUNTA(Chem2)))</f>
        <v>#NAME?</v>
      </c>
      <c r="CA8" s="1" t="e">
        <f ca="1">IF($C8="","",psi_i(a_iVal2,y_iVal4,$A8,Kij_Val,BIPset,$AC$3,COUNTA(Chem2)))</f>
        <v>#NAME?</v>
      </c>
      <c r="CB8" s="1"/>
      <c r="CC8" s="1" t="e">
        <f t="shared" ref="CC8:CC12" ca="1" si="21">$J8*$O8</f>
        <v>#NAME?</v>
      </c>
      <c r="CD8" s="1" t="e">
        <f t="shared" ref="CD8:CD12" ca="1" si="22">BO8*$O8</f>
        <v>#NAME?</v>
      </c>
      <c r="CE8" s="1"/>
      <c r="CF8" s="1" t="e">
        <f ca="1">IF($C8="",0,phi_i($BY$7,$BP$7,$BQ$7,O8,$CE$7,BZ8,$CB$7))</f>
        <v>#NAME?</v>
      </c>
      <c r="CG8" s="1" t="e">
        <f ca="1">IF($C8="",0,phi_i($BY$9,$BP$9,$BQ$9,O8,$CE$10,$CA$7,$CB$10))</f>
        <v>#NAME?</v>
      </c>
      <c r="CH8" s="1" t="e">
        <f t="shared" ref="CH8:CH12" ca="1" si="23">CF8*$J8*$BM$7</f>
        <v>#NAME?</v>
      </c>
      <c r="CI8" s="1" t="e">
        <f t="shared" ref="CI8:CI12" ca="1" si="24">CG8*BO8*$BM$7</f>
        <v>#NAME?</v>
      </c>
      <c r="CJ8" t="e">
        <f t="shared" ref="CJ8:CJ12" ca="1" si="25">(1-(CH8/CI8))^2</f>
        <v>#NAME?</v>
      </c>
      <c r="CL8" t="e">
        <f t="shared" ref="CL8:CL12" ca="1" si="26">CH8/CG8</f>
        <v>#NAME?</v>
      </c>
      <c r="CN8" t="e">
        <f t="shared" ref="CN8:CN12" ca="1" si="27">CF8/CG8</f>
        <v>#NAME?</v>
      </c>
      <c r="CO8" s="89" t="e">
        <f t="shared" ref="CO8:CO12" ca="1" si="28">CN8*$J8</f>
        <v>#NAME?</v>
      </c>
      <c r="CP8" s="64" t="s">
        <v>135</v>
      </c>
      <c r="CQ8" s="64" t="s">
        <v>136</v>
      </c>
      <c r="CR8" s="117" t="s">
        <v>137</v>
      </c>
      <c r="CS8" s="117" t="s">
        <v>138</v>
      </c>
      <c r="CT8" s="117" t="s">
        <v>139</v>
      </c>
      <c r="CU8" s="117" t="s">
        <v>140</v>
      </c>
      <c r="CV8" s="53" t="s">
        <v>141</v>
      </c>
      <c r="CW8" s="53" t="s">
        <v>142</v>
      </c>
      <c r="CX8" s="53" t="s">
        <v>143</v>
      </c>
      <c r="CY8" s="81" t="s">
        <v>175</v>
      </c>
      <c r="CZ8" s="1" t="e">
        <f ca="1">IF($C8="","",psi_i(a_iVal2,x_iVal2,$A8,Kij_Val,BIPset,$AC$3,COUNTA(Chem2)))</f>
        <v>#NAME?</v>
      </c>
      <c r="DA8" s="1" t="e">
        <f ca="1">IF($C8="","",psi_i(a_iVal2,y_iVal5,$A8,Kij_Val,BIPset,$AC$3,COUNTA(Chem2)))</f>
        <v>#NAME?</v>
      </c>
      <c r="DB8" s="1"/>
      <c r="DC8" s="1" t="e">
        <f t="shared" ref="DC8:DC12" ca="1" si="29">$J8*$O8</f>
        <v>#NAME?</v>
      </c>
      <c r="DD8" s="1" t="e">
        <f t="shared" ref="DD8:DD12" ca="1" si="30">CO8*$O8</f>
        <v>#NAME?</v>
      </c>
      <c r="DE8" s="1"/>
      <c r="DF8" s="1" t="e">
        <f ca="1">IF($C8="",0,phi_i($CY$7,$CP$7,$CQ$7,O8,$DE$7,CZ8,$DB$7))</f>
        <v>#NAME?</v>
      </c>
      <c r="DG8" s="1" t="e">
        <f ca="1">IF($C8="",0,phi_i($CY$9,$CP$9,$CQ$9,O8,$DE$10,DA8,$DB$10))</f>
        <v>#NAME?</v>
      </c>
      <c r="DH8" s="1" t="e">
        <f t="shared" ref="DH8:DH16" ca="1" si="31">DF8*$J8*$CM$7</f>
        <v>#NAME?</v>
      </c>
      <c r="DI8" s="1" t="e">
        <f t="shared" ref="DI8:DI16" ca="1" si="32">DG8*CO8*$CM$7</f>
        <v>#NAME?</v>
      </c>
      <c r="DJ8" t="e">
        <f t="shared" ref="DJ8:DJ12" ca="1" si="33">(1-(DH8/DI8))^2</f>
        <v>#NAME?</v>
      </c>
      <c r="DL8" t="e">
        <f t="shared" ref="DL8:DL12" ca="1" si="34">DH8/DG8</f>
        <v>#NAME?</v>
      </c>
      <c r="DN8" t="e">
        <f t="shared" ref="DN8:DN12" ca="1" si="35">DF8/DG8</f>
        <v>#NAME?</v>
      </c>
      <c r="DO8" s="89" t="e">
        <f t="shared" ref="DO8:DO12" ca="1" si="36">DN8*$J8</f>
        <v>#NAME?</v>
      </c>
      <c r="DP8" s="64" t="s">
        <v>135</v>
      </c>
      <c r="DQ8" s="64" t="s">
        <v>136</v>
      </c>
      <c r="DR8" s="117" t="s">
        <v>137</v>
      </c>
      <c r="DS8" s="117" t="s">
        <v>138</v>
      </c>
      <c r="DT8" s="117" t="s">
        <v>139</v>
      </c>
      <c r="DU8" s="117" t="s">
        <v>140</v>
      </c>
      <c r="DV8" s="53" t="s">
        <v>141</v>
      </c>
      <c r="DW8" s="53" t="s">
        <v>142</v>
      </c>
      <c r="DX8" s="53" t="s">
        <v>143</v>
      </c>
      <c r="DY8" s="81" t="s">
        <v>175</v>
      </c>
      <c r="DZ8" s="1" t="e">
        <f ca="1">IF($C8="","",psi_i(a_iVal2,x_iVal2,$A8,Kij_Val,BIPset,$AC$3,COUNTA(Chem2)))</f>
        <v>#NAME?</v>
      </c>
      <c r="EA8" s="1" t="e">
        <f ca="1">IF($C8="","",psi_i(a_iVal2,y_iVal6,$A8,Kij_Val,BIPset,$AC$3,COUNTA(Chem2)))</f>
        <v>#NAME?</v>
      </c>
      <c r="EB8" s="1"/>
      <c r="EC8" s="1" t="e">
        <f t="shared" ref="EC8:EC12" ca="1" si="37">$J8*$O8</f>
        <v>#NAME?</v>
      </c>
      <c r="ED8" s="1" t="e">
        <f t="shared" ref="ED8:ED12" ca="1" si="38">DO8*$O8</f>
        <v>#NAME?</v>
      </c>
      <c r="EE8" s="1"/>
      <c r="EF8" s="1" t="e">
        <f ca="1">IF($C8="",0,phi_i($DY$7,$DP$7,$DQ$7,O8,$EE$7,DZ8,$EB$7))</f>
        <v>#NAME?</v>
      </c>
      <c r="EG8" s="1" t="e">
        <f ca="1">IF($C8="",0,phi_i($DY$9,$DP$9,$DQ$9,O8,$EE$10,EA8,$EB$10))</f>
        <v>#NAME?</v>
      </c>
      <c r="EH8" s="1" t="e">
        <f t="shared" ref="EH8:EH16" ca="1" si="39">EF8*$J8*$DM$7</f>
        <v>#NAME?</v>
      </c>
      <c r="EI8" s="1" t="e">
        <f t="shared" ref="EI8:EI16" ca="1" si="40">EG8*DO8*$DM$7</f>
        <v>#NAME?</v>
      </c>
      <c r="EJ8" t="e">
        <f t="shared" ref="EJ8:EJ12" ca="1" si="41">(1-(EH8/EI8))^2</f>
        <v>#NAME?</v>
      </c>
      <c r="EL8" t="e">
        <f t="shared" ref="EL8:EL12" ca="1" si="42">EH8/EG8</f>
        <v>#NAME?</v>
      </c>
      <c r="EN8" t="e">
        <f t="shared" ref="EN8:EN12" ca="1" si="43">EF8/EG8</f>
        <v>#NAME?</v>
      </c>
      <c r="EO8" s="89" t="e">
        <f t="shared" ref="EO8:EO16" ca="1" si="44">EN8*$J8</f>
        <v>#NAME?</v>
      </c>
      <c r="EP8" s="64" t="s">
        <v>135</v>
      </c>
      <c r="EQ8" s="64" t="s">
        <v>136</v>
      </c>
      <c r="ER8" s="117" t="s">
        <v>137</v>
      </c>
      <c r="ES8" s="117" t="s">
        <v>138</v>
      </c>
      <c r="ET8" s="117" t="s">
        <v>139</v>
      </c>
      <c r="EU8" s="117" t="s">
        <v>140</v>
      </c>
      <c r="EV8" s="53" t="s">
        <v>141</v>
      </c>
      <c r="EW8" s="53" t="s">
        <v>142</v>
      </c>
      <c r="EX8" s="53" t="s">
        <v>143</v>
      </c>
      <c r="EY8" s="81" t="s">
        <v>175</v>
      </c>
      <c r="EZ8" s="1" t="e">
        <f ca="1">IF($C8="","",psi_i(a_iVal2,x_iVal2,$A8,Kij_Val,BIPset,$AC$3,COUNTA(Chem2)))</f>
        <v>#NAME?</v>
      </c>
      <c r="FA8" s="1" t="e">
        <f ca="1">IF($C8="","",psi_i(a_iVal2,y_iVal7,$A8,Kij_Val,BIPset,$AC$3,COUNTA(Chem2)))</f>
        <v>#NAME?</v>
      </c>
      <c r="FB8" s="1"/>
      <c r="FC8" s="1" t="e">
        <f t="shared" ref="FC8:FC12" ca="1" si="45">$J8*$O8</f>
        <v>#NAME?</v>
      </c>
      <c r="FD8" s="1" t="e">
        <f t="shared" ref="FD8:FD12" ca="1" si="46">EO8*$O8</f>
        <v>#NAME?</v>
      </c>
      <c r="FE8" s="1"/>
      <c r="FF8" s="1" t="e">
        <f ca="1">IF($C8="",0,phi_i($EY$7,$EP$7,$EQ$7,O8,$FE$7,EZ8,$FB$7))</f>
        <v>#NAME?</v>
      </c>
      <c r="FG8" s="1" t="e">
        <f ca="1">IF($C8="",0,phi_i($EY$9,$EP$9,$EQ$9,O8,$FE$10,FA8,$FB$10))</f>
        <v>#NAME?</v>
      </c>
      <c r="FH8" s="1" t="e">
        <f t="shared" ref="FH8:FH16" ca="1" si="47">FF8*$J8*$EM$7</f>
        <v>#NAME?</v>
      </c>
      <c r="FI8" s="1" t="e">
        <f t="shared" ref="FI8:FI16" ca="1" si="48">FG8*EO8*$EM$7</f>
        <v>#NAME?</v>
      </c>
      <c r="FJ8" t="e">
        <f t="shared" ref="FJ8:FJ12" ca="1" si="49">(1-(FH8/FI8))^2</f>
        <v>#NAME?</v>
      </c>
      <c r="FL8" t="e">
        <f t="shared" ref="FL8:FL12" ca="1" si="50">FH8/FG8</f>
        <v>#NAME?</v>
      </c>
      <c r="FN8" t="e">
        <f t="shared" ref="FN8:FN12" ca="1" si="51">FF8/FG8</f>
        <v>#NAME?</v>
      </c>
      <c r="FO8" s="89" t="e">
        <f t="shared" ref="FO8:FO12" ca="1" si="52">FN8*$J8</f>
        <v>#NAME?</v>
      </c>
      <c r="FP8" s="64" t="s">
        <v>135</v>
      </c>
      <c r="FQ8" s="64" t="s">
        <v>136</v>
      </c>
      <c r="FR8" s="117" t="s">
        <v>137</v>
      </c>
      <c r="FS8" s="117" t="s">
        <v>138</v>
      </c>
      <c r="FT8" s="117" t="s">
        <v>139</v>
      </c>
      <c r="FU8" s="117" t="s">
        <v>140</v>
      </c>
      <c r="FV8" s="53" t="s">
        <v>141</v>
      </c>
      <c r="FW8" s="53" t="s">
        <v>142</v>
      </c>
      <c r="FX8" s="53" t="s">
        <v>143</v>
      </c>
      <c r="FY8" s="81" t="s">
        <v>175</v>
      </c>
      <c r="FZ8" s="1" t="e">
        <f ca="1">IF($C8="","",psi_i(a_iVal2,x_iVal2,$A8,Kij_Val,BIPset,$AC$3,COUNTA(Chem2)))</f>
        <v>#NAME?</v>
      </c>
      <c r="GA8" s="1" t="e">
        <f ca="1">IF($C8="","",psi_i(a_iVal2,y_iVal8,$A8,Kij_Val,BIPset,$AC$3,COUNTA(Chem2)))</f>
        <v>#NAME?</v>
      </c>
      <c r="GB8" s="1"/>
      <c r="GC8" s="1" t="e">
        <f t="shared" ref="GC8:GC12" ca="1" si="53">$J8*$O8</f>
        <v>#NAME?</v>
      </c>
      <c r="GD8" s="1" t="e">
        <f t="shared" ref="GD8:GD12" ca="1" si="54">FO8*$O8</f>
        <v>#NAME?</v>
      </c>
      <c r="GE8" s="1"/>
      <c r="GF8" s="1" t="e">
        <f ca="1">IF($C8="",0,phi_i($FY$7,$FP$7,$FQ$7,O8,$GE$7,FZ8,$GB$7))</f>
        <v>#NAME?</v>
      </c>
      <c r="GG8" s="1" t="e">
        <f ca="1">IF($C8="",0,phi_i($FY$9,$FP$9,$FQ$9,O8,$GE$10,GA8,$GB$10))</f>
        <v>#NAME?</v>
      </c>
      <c r="GH8" s="1" t="e">
        <f t="shared" ref="GH8:GH16" ca="1" si="55">GF8*$J8*$FM$7</f>
        <v>#NAME?</v>
      </c>
      <c r="GI8" s="1" t="e">
        <f t="shared" ref="GI8:GI16" ca="1" si="56">GG8*FO8*$FM$7</f>
        <v>#NAME?</v>
      </c>
      <c r="GJ8" t="e">
        <f t="shared" ref="GJ8:GJ12" ca="1" si="57">(1-(GH8/GI8))^2</f>
        <v>#NAME?</v>
      </c>
      <c r="GL8" t="e">
        <f t="shared" ref="GL8:GL12" ca="1" si="58">GH8/GG8</f>
        <v>#NAME?</v>
      </c>
      <c r="GN8" t="e">
        <f t="shared" ref="GN8:GN12" ca="1" si="59">GF8/GG8</f>
        <v>#NAME?</v>
      </c>
      <c r="GO8" s="89" t="e">
        <f t="shared" ref="GO8:GO16" ca="1" si="60">GN8*$J8</f>
        <v>#NAME?</v>
      </c>
      <c r="GP8" s="64" t="s">
        <v>135</v>
      </c>
      <c r="GQ8" s="64" t="s">
        <v>136</v>
      </c>
      <c r="GR8" s="117" t="s">
        <v>137</v>
      </c>
      <c r="GS8" s="117" t="s">
        <v>138</v>
      </c>
      <c r="GT8" s="117" t="s">
        <v>139</v>
      </c>
      <c r="GU8" s="117" t="s">
        <v>140</v>
      </c>
      <c r="GV8" s="53" t="s">
        <v>141</v>
      </c>
      <c r="GW8" s="53" t="s">
        <v>142</v>
      </c>
      <c r="GX8" s="53" t="s">
        <v>143</v>
      </c>
      <c r="GY8" s="81" t="s">
        <v>175</v>
      </c>
      <c r="GZ8" s="1" t="e">
        <f ca="1">IF($C8="","",psi_i(a_iVal2,x_iVal2,$A8,Kij_Val,BIPset,$AC$3,COUNTA(Chem2)))</f>
        <v>#NAME?</v>
      </c>
      <c r="HA8" s="1" t="e">
        <f ca="1">IF($C8="","",psi_i(a_iVal2,y_iVal9,$A8,Kij_Val,BIPset,$AC$3,COUNTA(Chem2)))</f>
        <v>#NAME?</v>
      </c>
      <c r="HB8" s="1"/>
      <c r="HC8" s="1" t="e">
        <f t="shared" ref="HC8:HC12" ca="1" si="61">$J8*$O8</f>
        <v>#NAME?</v>
      </c>
      <c r="HD8" s="1" t="e">
        <f t="shared" ref="HD8:HD12" ca="1" si="62">GO8*$O8</f>
        <v>#NAME?</v>
      </c>
      <c r="HE8" s="1"/>
      <c r="HF8" s="1" t="e">
        <f ca="1">IF($C8="",0,phi_i($GY$7,$GP$7,$GQ$7,O8,$HE$7,GZ8,$HB$7))</f>
        <v>#NAME?</v>
      </c>
      <c r="HG8" s="1" t="e">
        <f ca="1">IF($C8="",0,phi_i($GY$9,$GP$9,$GQ$9,O8,$HE$10,HA8,$HB$10))</f>
        <v>#NAME?</v>
      </c>
      <c r="HH8" s="1" t="e">
        <f t="shared" ref="HH8:HH16" ca="1" si="63">HF8*$J8*$GM$7</f>
        <v>#NAME?</v>
      </c>
      <c r="HI8" s="1" t="e">
        <f t="shared" ref="HI8:HI16" ca="1" si="64">HG8*GO8*$GM$7</f>
        <v>#NAME?</v>
      </c>
      <c r="HJ8" t="e">
        <f t="shared" ref="HJ8:HJ12" ca="1" si="65">(1-(HH8/HI8))^2</f>
        <v>#NAME?</v>
      </c>
      <c r="HL8" t="e">
        <f t="shared" ref="HL8:HL12" ca="1" si="66">HH8/HG8</f>
        <v>#NAME?</v>
      </c>
      <c r="HN8" t="e">
        <f t="shared" ref="HN8:HN12" ca="1" si="67">HF8/HG8</f>
        <v>#NAME?</v>
      </c>
      <c r="HO8" s="89" t="e">
        <f t="shared" ref="HO8:HO16" ca="1" si="68">HN8*$J8</f>
        <v>#NAME?</v>
      </c>
      <c r="HP8" s="64" t="s">
        <v>135</v>
      </c>
      <c r="HQ8" s="64" t="s">
        <v>136</v>
      </c>
      <c r="HR8" s="117" t="s">
        <v>137</v>
      </c>
      <c r="HS8" s="117" t="s">
        <v>138</v>
      </c>
      <c r="HT8" s="117" t="s">
        <v>139</v>
      </c>
      <c r="HU8" s="117" t="s">
        <v>140</v>
      </c>
      <c r="HV8" s="53" t="s">
        <v>141</v>
      </c>
      <c r="HW8" s="53" t="s">
        <v>142</v>
      </c>
      <c r="HX8" s="53" t="s">
        <v>143</v>
      </c>
      <c r="HY8" s="81" t="s">
        <v>175</v>
      </c>
      <c r="HZ8" s="1" t="e">
        <f ca="1">IF($C8="","",psi_i(a_iVal2,x_iVal2,$A8,Kij_Val,BIPset,$AC$3,COUNTA(Chem2)))</f>
        <v>#NAME?</v>
      </c>
      <c r="IA8" s="1" t="e">
        <f ca="1">IF($C8="","",psi_i(a_iVal2,y_iVal10,$A8,Kij_Val,BIPset,$AC$3,COUNTA(Chem2)))</f>
        <v>#NAME?</v>
      </c>
      <c r="IB8" s="1"/>
      <c r="IC8" s="1" t="e">
        <f t="shared" ref="IC8:IC12" ca="1" si="69">$J8*$O8</f>
        <v>#NAME?</v>
      </c>
      <c r="ID8" s="1" t="e">
        <f t="shared" ref="ID8:ID12" ca="1" si="70">HO8*$O8</f>
        <v>#NAME?</v>
      </c>
      <c r="IE8" s="1"/>
      <c r="IF8" s="1" t="e">
        <f ca="1">IF($C8="",0,phi_i($HY$7,$HP$7,$HQ$7,O8,$IE$7,HZ8,$IB$7))</f>
        <v>#NAME?</v>
      </c>
      <c r="IG8" s="1" t="e">
        <f ca="1">IF($C8="",0,phi_i($HY$9,$HP$9,$HQ$9,O8,$IE$10,IA8,$IB$10))</f>
        <v>#NAME?</v>
      </c>
      <c r="IH8" s="1" t="e">
        <f t="shared" ref="IH8:IH16" ca="1" si="71">IF8*$J8*$HM$7</f>
        <v>#NAME?</v>
      </c>
      <c r="II8" s="1" t="e">
        <f t="shared" ref="II8:II16" ca="1" si="72">IG8*HO8*$HM$7</f>
        <v>#NAME?</v>
      </c>
      <c r="IJ8" t="e">
        <f t="shared" ref="IJ8:IJ12" ca="1" si="73">(1-(IH8/II8))^2</f>
        <v>#NAME?</v>
      </c>
      <c r="IL8" t="e">
        <f t="shared" ref="IL8:IL12" ca="1" si="74">IH8/IG8</f>
        <v>#NAME?</v>
      </c>
      <c r="IN8" t="e">
        <f t="shared" ref="IN8:IN12" ca="1" si="75">IF8/IG8</f>
        <v>#NAME?</v>
      </c>
      <c r="IO8" s="89" t="e">
        <f t="shared" ref="IO8:IO16" ca="1" si="76">IN8*$J8</f>
        <v>#NAME?</v>
      </c>
      <c r="IP8" s="64" t="s">
        <v>135</v>
      </c>
      <c r="IQ8" s="64" t="s">
        <v>136</v>
      </c>
      <c r="IR8" s="117" t="s">
        <v>137</v>
      </c>
      <c r="IS8" s="117" t="s">
        <v>138</v>
      </c>
      <c r="IT8" s="117" t="s">
        <v>139</v>
      </c>
      <c r="IU8" s="117" t="s">
        <v>140</v>
      </c>
      <c r="IV8" s="53" t="s">
        <v>141</v>
      </c>
      <c r="IW8" s="53" t="s">
        <v>142</v>
      </c>
      <c r="IX8" s="53" t="s">
        <v>143</v>
      </c>
      <c r="IY8" s="81" t="s">
        <v>175</v>
      </c>
      <c r="IZ8" s="1" t="e">
        <f ca="1">IF($C8="","",psi_i(a_iVal2,x_iVal2,$A8,Kij_Val,BIPset,$AC$3,COUNTA(Chem2)))</f>
        <v>#NAME?</v>
      </c>
      <c r="JA8" s="1" t="e">
        <f ca="1">IF($C8="","",psi_i(a_iVal2,y_iVal10,$A8,Kij_Val,BIPset,$AC$3,COUNTA(Chem2)))</f>
        <v>#NAME?</v>
      </c>
      <c r="JB8" s="1"/>
      <c r="JC8" s="1" t="e">
        <f t="shared" ref="JC8:JC12" ca="1" si="77">$J8*$O8</f>
        <v>#NAME?</v>
      </c>
      <c r="JD8" s="1" t="e">
        <f t="shared" ref="JD8:JD12" ca="1" si="78">IO8*$O8</f>
        <v>#NAME?</v>
      </c>
      <c r="JE8" s="1"/>
      <c r="JF8" s="1" t="e">
        <f ca="1">IF($C8="",0,phi_i($IY$7,$IP$7,$IQ$7,O8,$JE$7,IZ8,$JB$7))</f>
        <v>#NAME?</v>
      </c>
      <c r="JG8" s="1" t="e">
        <f ca="1">IF($C8="",0,phi_i($IY$9,$IP$9,$IQ$9,O8,$JE$10,JA8,$JB$10))</f>
        <v>#NAME?</v>
      </c>
      <c r="JH8" s="1" t="e">
        <f t="shared" ref="JH8:JH16" ca="1" si="79">JF8*$J8*$IM$7</f>
        <v>#NAME?</v>
      </c>
      <c r="JI8" s="1" t="e">
        <f t="shared" ref="JI8:JI16" ca="1" si="80">JG8*IO8*$IM$7</f>
        <v>#NAME?</v>
      </c>
      <c r="JJ8" t="e">
        <f t="shared" ref="JJ8:JJ12" ca="1" si="81">(1-(JH8/JI8))^2</f>
        <v>#NAME?</v>
      </c>
      <c r="JL8" t="e">
        <f t="shared" ref="JL8:JL12" ca="1" si="82">JH8/JG8</f>
        <v>#NAME?</v>
      </c>
      <c r="JN8" t="e">
        <f t="shared" ref="JN8:JN12" ca="1" si="83">JF8/JG8</f>
        <v>#NAME?</v>
      </c>
      <c r="JO8" s="89" t="e">
        <f t="shared" ref="JO8:JO16" ca="1" si="84">JN8*$J8</f>
        <v>#NAME?</v>
      </c>
      <c r="JP8" s="64" t="s">
        <v>135</v>
      </c>
      <c r="JQ8" s="64" t="s">
        <v>136</v>
      </c>
      <c r="JR8" s="117" t="s">
        <v>137</v>
      </c>
      <c r="JS8" s="117" t="s">
        <v>138</v>
      </c>
      <c r="JT8" s="117" t="s">
        <v>139</v>
      </c>
      <c r="JU8" s="117" t="s">
        <v>140</v>
      </c>
      <c r="JV8" s="53" t="s">
        <v>141</v>
      </c>
      <c r="JW8" s="53" t="s">
        <v>142</v>
      </c>
      <c r="JX8" s="53" t="s">
        <v>143</v>
      </c>
      <c r="JY8" s="81" t="s">
        <v>175</v>
      </c>
      <c r="JZ8" s="1" t="e">
        <f ca="1">IF($C8="","",psi_i(a_iVal2,x_iVal2,$A8,Kij_Val,BIPset,$AC$3,COUNTA(Chem2)))</f>
        <v>#NAME?</v>
      </c>
      <c r="KA8" s="1" t="e">
        <f ca="1">IF($C8="","",psi_i(a_iVal2,y_iVal12,$A8,Kij_Val,BIPset,$AC$3,COUNTA(Chem2)))</f>
        <v>#NAME?</v>
      </c>
      <c r="KB8" s="1"/>
      <c r="KC8" s="1" t="e">
        <f t="shared" ref="KC8:KC12" ca="1" si="85">$J8*$O8</f>
        <v>#NAME?</v>
      </c>
      <c r="KD8" s="1" t="e">
        <f t="shared" ref="KD8:KD12" ca="1" si="86">JO8*$O8</f>
        <v>#NAME?</v>
      </c>
      <c r="KE8" s="1"/>
      <c r="KF8" s="1" t="e">
        <f ca="1">IF($C8="",0,phi_i($JY$7,$JP$7,$JQ$7,O8,$KE$7,JZ8,$KB$7))</f>
        <v>#NAME?</v>
      </c>
      <c r="KG8" s="1" t="e">
        <f ca="1">IF($C8="",0,phi_i($JY$9,$JP$9,$JQ$9,O8,$KE$10,KA8,$KB$10))</f>
        <v>#NAME?</v>
      </c>
      <c r="KH8" s="1" t="e">
        <f t="shared" ref="KH8:KH16" ca="1" si="87">KF8*$J8*$JM$7</f>
        <v>#NAME?</v>
      </c>
      <c r="KI8" s="1" t="e">
        <f t="shared" ref="KI8:KI16" ca="1" si="88">KG8*JO8*$JM$7</f>
        <v>#NAME?</v>
      </c>
      <c r="KJ8" t="e">
        <f t="shared" ref="KJ8:KJ12" ca="1" si="89">(1-(KH8/KI8))^2</f>
        <v>#NAME?</v>
      </c>
      <c r="KL8" t="e">
        <f t="shared" ref="KL8:KL12" ca="1" si="90">KH8/KG8</f>
        <v>#NAME?</v>
      </c>
      <c r="KN8" t="e">
        <f t="shared" ref="KN8:KN12" ca="1" si="91">KF8/KG8</f>
        <v>#NAME?</v>
      </c>
      <c r="KO8" s="89" t="e">
        <f t="shared" ref="KO8:KO16" ca="1" si="92">KN8*$J8</f>
        <v>#NAME?</v>
      </c>
      <c r="KP8" s="64" t="s">
        <v>135</v>
      </c>
      <c r="KQ8" s="64" t="s">
        <v>136</v>
      </c>
      <c r="KR8" s="117" t="s">
        <v>137</v>
      </c>
      <c r="KS8" s="117" t="s">
        <v>138</v>
      </c>
      <c r="KT8" s="117" t="s">
        <v>139</v>
      </c>
      <c r="KU8" s="117" t="s">
        <v>140</v>
      </c>
      <c r="KV8" s="53" t="s">
        <v>141</v>
      </c>
      <c r="KW8" s="53" t="s">
        <v>142</v>
      </c>
      <c r="KX8" s="53" t="s">
        <v>143</v>
      </c>
      <c r="KY8" s="81" t="s">
        <v>175</v>
      </c>
      <c r="KZ8" s="1" t="e">
        <f ca="1">IF($C8="","",psi_i(a_iVal2,x_iVal2,$A8,Kij_Val,BIPset,$AC$3,COUNTA(Chem2)))</f>
        <v>#NAME?</v>
      </c>
      <c r="LA8" s="1" t="e">
        <f ca="1">IF($C8="","",psi_i(a_iVal2,y_iVal13,$A8,Kij_Val,BIPset,$AC$3,COUNTA(Chem2)))</f>
        <v>#NAME?</v>
      </c>
      <c r="LB8" s="1"/>
      <c r="LC8" s="1" t="e">
        <f t="shared" ref="LC8:LC12" ca="1" si="93">$J8*$O8</f>
        <v>#NAME?</v>
      </c>
      <c r="LD8" s="1" t="e">
        <f t="shared" ref="LD8:LD12" ca="1" si="94">KO8*$O8</f>
        <v>#NAME?</v>
      </c>
      <c r="LE8" s="1"/>
      <c r="LF8" s="1" t="e">
        <f ca="1">IF($C8="",0,phi_i($KY$7,$KP$7,$KQ$7,O8,$LE$7,KZ8,$LB$7))</f>
        <v>#NAME?</v>
      </c>
      <c r="LG8" s="1" t="e">
        <f ca="1">IF($C8="",0,phi_i($KY$9,$KP$9,$KQ$9,O8,$LE$10,LA8,$LB$10))</f>
        <v>#NAME?</v>
      </c>
      <c r="LH8" s="1" t="e">
        <f t="shared" ref="LH8:LH16" ca="1" si="95">LF8*$J8*$KM$7</f>
        <v>#NAME?</v>
      </c>
      <c r="LI8" s="1" t="e">
        <f t="shared" ref="LI8:LI16" ca="1" si="96">LG8*KO8*$KM$7</f>
        <v>#NAME?</v>
      </c>
      <c r="LJ8" t="e">
        <f t="shared" ref="LJ8:LJ12" ca="1" si="97">(1-(LH8/LI8))^2</f>
        <v>#NAME?</v>
      </c>
      <c r="LL8" t="e">
        <f t="shared" ref="LL8:LL12" ca="1" si="98">LH8/LG8</f>
        <v>#NAME?</v>
      </c>
      <c r="LN8" t="e">
        <f t="shared" ref="LN8:LN12" ca="1" si="99">LF8/LG8</f>
        <v>#NAME?</v>
      </c>
      <c r="LO8" s="89" t="e">
        <f t="shared" ref="LO8:LO16" ca="1" si="100">LN8*$J8</f>
        <v>#NAME?</v>
      </c>
      <c r="LP8" s="64" t="s">
        <v>135</v>
      </c>
      <c r="LQ8" s="64" t="s">
        <v>136</v>
      </c>
      <c r="LR8" s="117" t="s">
        <v>137</v>
      </c>
      <c r="LS8" s="117" t="s">
        <v>138</v>
      </c>
      <c r="LT8" s="117" t="s">
        <v>139</v>
      </c>
      <c r="LU8" s="117" t="s">
        <v>140</v>
      </c>
      <c r="LV8" s="53" t="s">
        <v>141</v>
      </c>
      <c r="LW8" s="53" t="s">
        <v>142</v>
      </c>
      <c r="LX8" s="53" t="s">
        <v>143</v>
      </c>
      <c r="LY8" s="81" t="s">
        <v>175</v>
      </c>
      <c r="LZ8" s="1" t="e">
        <f ca="1">IF($C8="","",psi_i(a_iVal2,x_iVal2,$A8,Kij_Val,BIPset,$AC$3,COUNTA(Chem2)))</f>
        <v>#NAME?</v>
      </c>
      <c r="MA8" s="1" t="e">
        <f ca="1">IF($C8="","",psi_i(a_iVal2,y_iVal14,$A8,Kij_Val,BIPset,$AC$3,COUNTA(Chem2)))</f>
        <v>#NAME?</v>
      </c>
      <c r="MB8" s="1"/>
      <c r="MC8" s="1" t="e">
        <f t="shared" ref="MC8:MC12" ca="1" si="101">$J8*$O8</f>
        <v>#NAME?</v>
      </c>
      <c r="MD8" s="1" t="e">
        <f t="shared" ref="MD8:MD12" ca="1" si="102">LO8*$O8</f>
        <v>#NAME?</v>
      </c>
      <c r="ME8" s="1"/>
      <c r="MF8" s="1" t="e">
        <f ca="1">IF($C8="",0,phi_i($LY$7,$LP$7,$LQ$7,O8,$ME$7,LZ8,$MB$7))</f>
        <v>#NAME?</v>
      </c>
      <c r="MG8" s="1" t="e">
        <f ca="1">IF($C8="",0,phi_i($LY$9,$LP$9,$LQ$9,O8,$ME$10,MA8,$MB$10))</f>
        <v>#NAME?</v>
      </c>
      <c r="MH8" s="1" t="e">
        <f t="shared" ref="MH8:MH16" ca="1" si="103">MF8*$J8*$LM$7</f>
        <v>#NAME?</v>
      </c>
      <c r="MI8" s="1" t="e">
        <f t="shared" ref="MI8:MI16" ca="1" si="104">MG8*LO8*$LM$7</f>
        <v>#NAME?</v>
      </c>
      <c r="MJ8" t="e">
        <f t="shared" ref="MJ8:MJ12" ca="1" si="105">(1-(MH8/MI8))^2</f>
        <v>#NAME?</v>
      </c>
      <c r="ML8" t="e">
        <f t="shared" ref="ML8:ML12" ca="1" si="106">MH8/MG8</f>
        <v>#NAME?</v>
      </c>
      <c r="MN8" t="e">
        <f t="shared" ref="MN8:MN12" ca="1" si="107">MF8/MG8</f>
        <v>#NAME?</v>
      </c>
      <c r="MO8" s="89" t="e">
        <f t="shared" ref="MO8:MO16" ca="1" si="108">MN8*$J8</f>
        <v>#NAME?</v>
      </c>
      <c r="MP8" s="64" t="s">
        <v>135</v>
      </c>
      <c r="MQ8" s="64" t="s">
        <v>136</v>
      </c>
      <c r="MR8" s="117" t="s">
        <v>137</v>
      </c>
      <c r="MS8" s="117" t="s">
        <v>138</v>
      </c>
      <c r="MT8" s="117" t="s">
        <v>139</v>
      </c>
      <c r="MU8" s="117" t="s">
        <v>140</v>
      </c>
      <c r="MV8" s="53" t="s">
        <v>141</v>
      </c>
      <c r="MW8" s="53" t="s">
        <v>142</v>
      </c>
      <c r="MX8" s="53" t="s">
        <v>143</v>
      </c>
      <c r="MY8" s="81" t="s">
        <v>175</v>
      </c>
      <c r="MZ8" s="1" t="e">
        <f ca="1">IF($C8="","",psi_i(a_iVal2,x_iVal2,$A8,Kij_Val,BIPset,$AC$3,COUNTA(Chem2)))</f>
        <v>#NAME?</v>
      </c>
      <c r="NA8" s="1" t="e">
        <f ca="1">IF($C8="","",psi_i(a_iVal2,y_iVal15,$A8,Kij_Val,BIPset,$AC$3,COUNTA(Chem2)))</f>
        <v>#NAME?</v>
      </c>
      <c r="NB8" s="1"/>
      <c r="NC8" s="1" t="e">
        <f t="shared" ref="NC8:NC12" ca="1" si="109">$J8*$O8</f>
        <v>#NAME?</v>
      </c>
      <c r="ND8" s="1" t="e">
        <f t="shared" ref="ND8:ND12" ca="1" si="110">MO8*$O8</f>
        <v>#NAME?</v>
      </c>
      <c r="NE8" s="1"/>
      <c r="NF8" s="1" t="e">
        <f ca="1">IF($C8="",0,phi_i($MY$7,$MP$7,$MQ$7,O8,$NE$7,MZ8,$NB$7))</f>
        <v>#NAME?</v>
      </c>
      <c r="NG8" s="1" t="e">
        <f ca="1">IF($C8="",0,phi_i($MY$9,$MP$9,$MQ$9,O8,$NE$10,NA8,$NB$10))</f>
        <v>#NAME?</v>
      </c>
      <c r="NH8" s="1" t="e">
        <f t="shared" ref="NH8:NH16" ca="1" si="111">NF8*$J8*$MM$7</f>
        <v>#NAME?</v>
      </c>
      <c r="NI8" s="1" t="e">
        <f t="shared" ref="NI8:NI16" ca="1" si="112">NG8*MO8*$MM$7</f>
        <v>#NAME?</v>
      </c>
      <c r="NJ8" t="e">
        <f t="shared" ref="NJ8:NJ12" ca="1" si="113">(1-(NH8/NI8))^2</f>
        <v>#NAME?</v>
      </c>
      <c r="NL8" t="e">
        <f t="shared" ref="NL8:NL12" ca="1" si="114">NH8/NG8</f>
        <v>#NAME?</v>
      </c>
      <c r="NN8" t="e">
        <f t="shared" ref="NN8:NN12" ca="1" si="115">NF8/NG8</f>
        <v>#NAME?</v>
      </c>
      <c r="NO8" s="89" t="e">
        <f t="shared" ref="NO8:NO16" ca="1" si="116">NN8*$J8</f>
        <v>#NAME?</v>
      </c>
      <c r="NP8" s="64" t="s">
        <v>135</v>
      </c>
      <c r="NQ8" s="64" t="s">
        <v>136</v>
      </c>
      <c r="NR8" s="117" t="s">
        <v>137</v>
      </c>
      <c r="NS8" s="117" t="s">
        <v>138</v>
      </c>
      <c r="NT8" s="117" t="s">
        <v>139</v>
      </c>
      <c r="NU8" s="117" t="s">
        <v>140</v>
      </c>
      <c r="NV8" s="53" t="s">
        <v>141</v>
      </c>
      <c r="NW8" s="53" t="s">
        <v>142</v>
      </c>
      <c r="NX8" s="53" t="s">
        <v>143</v>
      </c>
      <c r="NY8" s="81" t="s">
        <v>175</v>
      </c>
      <c r="NZ8" s="1" t="e">
        <f ca="1">IF($C8="","",psi_i(a_iVal2,x_iVal2,$A8,Kij_Val,BIPset,$AC$3,COUNTA(Chem2)))</f>
        <v>#NAME?</v>
      </c>
      <c r="OA8" s="1" t="e">
        <f ca="1">IF($C8="","",psi_i(a_iVal2,y_iVal16,$A8,Kij_Val,BIPset,$AC$3,COUNTA(Chem2)))</f>
        <v>#NAME?</v>
      </c>
      <c r="OB8" s="1"/>
      <c r="OC8" s="1" t="e">
        <f t="shared" ref="OC8:OC12" ca="1" si="117">$J8*$O8</f>
        <v>#NAME?</v>
      </c>
      <c r="OD8" s="1" t="e">
        <f t="shared" ref="OD8:OD12" ca="1" si="118">NO8*$O8</f>
        <v>#NAME?</v>
      </c>
      <c r="OE8" s="1"/>
      <c r="OF8" s="1" t="e">
        <f ca="1">IF($C8="",0,phi_i($NY$7,$NP$7,$NQ$7,O8,$OE$7,NZ8,$OB$7))</f>
        <v>#NAME?</v>
      </c>
      <c r="OG8" s="1" t="e">
        <f ca="1">IF($C8="",0,phi_i($NY$9,$NP$9,$NQ$9,O8,$OE$10,OA8,$OB$10))</f>
        <v>#NAME?</v>
      </c>
      <c r="OH8" s="1" t="e">
        <f t="shared" ref="OH8:OH16" ca="1" si="119">OF8*$J8*$NM$7</f>
        <v>#NAME?</v>
      </c>
      <c r="OI8" s="1" t="e">
        <f t="shared" ref="OI8:OI16" ca="1" si="120">OG8*NO8*$NM$7</f>
        <v>#NAME?</v>
      </c>
      <c r="OJ8" t="e">
        <f t="shared" ref="OJ8:OJ12" ca="1" si="121">(1-(OH8/OI8))^2</f>
        <v>#NAME?</v>
      </c>
      <c r="OL8" t="e">
        <f t="shared" ref="OL8:OL12" ca="1" si="122">OH8/OG8</f>
        <v>#NAME?</v>
      </c>
      <c r="ON8" t="e">
        <f t="shared" ref="ON8:ON12" ca="1" si="123">OF8/OG8</f>
        <v>#NAME?</v>
      </c>
      <c r="OO8" s="89" t="e">
        <f t="shared" ref="OO8:OO16" ca="1" si="124">ON8*$J8</f>
        <v>#NAME?</v>
      </c>
      <c r="OP8" s="64" t="s">
        <v>135</v>
      </c>
      <c r="OQ8" s="64" t="s">
        <v>136</v>
      </c>
      <c r="OR8" s="117" t="s">
        <v>137</v>
      </c>
      <c r="OS8" s="117" t="s">
        <v>138</v>
      </c>
      <c r="OT8" s="117" t="s">
        <v>139</v>
      </c>
      <c r="OU8" s="117" t="s">
        <v>140</v>
      </c>
      <c r="OV8" s="53" t="s">
        <v>141</v>
      </c>
      <c r="OW8" s="53" t="s">
        <v>142</v>
      </c>
      <c r="OX8" s="53" t="s">
        <v>143</v>
      </c>
      <c r="OY8" s="81" t="s">
        <v>175</v>
      </c>
      <c r="OZ8" s="1" t="e">
        <f ca="1">IF($C8="","",psi_i(a_iVal2,x_iVal2,$A8,Kij_Val,BIPset,$AC$3,COUNTA(Chem2)))</f>
        <v>#NAME?</v>
      </c>
      <c r="PA8" s="1" t="e">
        <f ca="1">IF($C8="","",psi_i(a_iVal2,y_iVal17,$A8,Kij_Val,BIPset,$AC$3,COUNTA(Chem2)))</f>
        <v>#NAME?</v>
      </c>
      <c r="PB8" s="1"/>
      <c r="PC8" s="1" t="e">
        <f t="shared" ref="PC8:PC12" ca="1" si="125">$J8*$O8</f>
        <v>#NAME?</v>
      </c>
      <c r="PD8" s="1" t="e">
        <f t="shared" ref="PD8:PD12" ca="1" si="126">OO8*$O8</f>
        <v>#NAME?</v>
      </c>
      <c r="PE8" s="1"/>
      <c r="PF8" s="1" t="e">
        <f ca="1">IF($C8="",0,phi_i($OY$7,$OP$7,$OQ$7,O8,$PE$7,OZ8,$PB$7))</f>
        <v>#NAME?</v>
      </c>
      <c r="PG8" s="1" t="e">
        <f ca="1">IF($C8="",0,phi_i($OY$9,$OP$9,$OQ$9,O8,$PE$10,PA8,$PB$10))</f>
        <v>#NAME?</v>
      </c>
      <c r="PH8" s="1" t="e">
        <f t="shared" ref="PH8:PH16" ca="1" si="127">PF8*$J8*$OM$7</f>
        <v>#NAME?</v>
      </c>
      <c r="PI8" s="1" t="e">
        <f t="shared" ref="PI8:PI16" ca="1" si="128">PG8*OO8*$OM$7</f>
        <v>#NAME?</v>
      </c>
      <c r="PJ8" t="e">
        <f t="shared" ref="PJ8:PJ12" ca="1" si="129">(1-(PH8/PI8))^2</f>
        <v>#NAME?</v>
      </c>
      <c r="PL8" t="e">
        <f t="shared" ref="PL8:PL12" ca="1" si="130">PH8/PG8</f>
        <v>#NAME?</v>
      </c>
      <c r="PN8" t="e">
        <f t="shared" ref="PN8:PN12" ca="1" si="131">PF8/PG8</f>
        <v>#NAME?</v>
      </c>
      <c r="PO8" s="89" t="e">
        <f t="shared" ref="PO8:PO16" ca="1" si="132">PN8*$J8</f>
        <v>#NAME?</v>
      </c>
      <c r="PP8" s="64" t="s">
        <v>135</v>
      </c>
      <c r="PQ8" s="64" t="s">
        <v>136</v>
      </c>
      <c r="PR8" s="117" t="s">
        <v>137</v>
      </c>
      <c r="PS8" s="117" t="s">
        <v>138</v>
      </c>
      <c r="PT8" s="117" t="s">
        <v>139</v>
      </c>
      <c r="PU8" s="117" t="s">
        <v>140</v>
      </c>
      <c r="PV8" s="53" t="s">
        <v>141</v>
      </c>
      <c r="PW8" s="53" t="s">
        <v>142</v>
      </c>
      <c r="PX8" s="53" t="s">
        <v>143</v>
      </c>
      <c r="PY8" s="81" t="s">
        <v>175</v>
      </c>
      <c r="PZ8" s="1" t="e">
        <f ca="1">IF($C8="","",psi_i(a_iVal2,x_iVal2,$A8,Kij_Val,BIPset,$AC$3,COUNTA(Chem2)))</f>
        <v>#NAME?</v>
      </c>
      <c r="QA8" s="1" t="e">
        <f ca="1">IF($C8="","",psi_i(a_iVal2,y_iVal18,$A8,Kij_Val,BIPset,$AC$3,COUNTA(Chem2)))</f>
        <v>#NAME?</v>
      </c>
      <c r="QB8" s="1"/>
      <c r="QC8" s="1" t="e">
        <f t="shared" ref="QC8:QC12" ca="1" si="133">$J8*$O8</f>
        <v>#NAME?</v>
      </c>
      <c r="QD8" s="1" t="e">
        <f t="shared" ref="QD8:QD12" ca="1" si="134">PO8*$O8</f>
        <v>#NAME?</v>
      </c>
      <c r="QE8" s="1"/>
      <c r="QF8" s="1" t="e">
        <f ca="1">IF($C8="",0,phi_i($PY$7,$PP$7,$PQ$7,O8,$QE$7,PZ8,$QB$7))</f>
        <v>#NAME?</v>
      </c>
      <c r="QG8" s="1" t="e">
        <f ca="1">IF($C8="",0,phi_i($PY$9,$PP$9,$PQ$9,O8,$QE$10,QA8,$QB$10))</f>
        <v>#NAME?</v>
      </c>
      <c r="QH8" s="1" t="e">
        <f t="shared" ref="QH8:QH16" ca="1" si="135">QF8*$J8*$PM$7</f>
        <v>#NAME?</v>
      </c>
      <c r="QI8" s="1" t="e">
        <f t="shared" ref="QI8:QI16" ca="1" si="136">QG8*PO8*$PM$7</f>
        <v>#NAME?</v>
      </c>
      <c r="QJ8" t="e">
        <f t="shared" ref="QJ8:QJ12" ca="1" si="137">(1-(QH8/QI8))^2</f>
        <v>#NAME?</v>
      </c>
      <c r="QL8" t="e">
        <f t="shared" ref="QL8:QL12" ca="1" si="138">QH8/QG8</f>
        <v>#NAME?</v>
      </c>
      <c r="QN8" t="e">
        <f t="shared" ref="QN8:QN12" ca="1" si="139">QF8/QG8</f>
        <v>#NAME?</v>
      </c>
      <c r="QO8" s="89" t="e">
        <f t="shared" ref="QO8:QO16" ca="1" si="140">QN8*$J8</f>
        <v>#NAME?</v>
      </c>
    </row>
    <row r="9" spans="1:457">
      <c r="A9">
        <f t="shared" ref="A9:A16" si="141">A8+1</f>
        <v>3</v>
      </c>
      <c r="B9" s="18" t="str">
        <f>Wilson!B9</f>
        <v>MF Hexane</v>
      </c>
      <c r="C9" s="109">
        <f>Wilson!C9</f>
        <v>0.2</v>
      </c>
      <c r="D9" s="109" t="str">
        <f>Wilson!D9</f>
        <v>-</v>
      </c>
      <c r="E9" s="109">
        <f>Wilson!E9</f>
        <v>507.6</v>
      </c>
      <c r="F9" s="109">
        <f>Wilson!F9</f>
        <v>3040</v>
      </c>
      <c r="G9" s="109">
        <f>Wilson!G9</f>
        <v>0.26900000000000002</v>
      </c>
      <c r="H9" s="109">
        <f>Wilson!H9</f>
        <v>0.30399999999999999</v>
      </c>
      <c r="I9" s="109">
        <f t="shared" si="1"/>
        <v>0.59101654846335694</v>
      </c>
      <c r="J9" s="113">
        <f t="shared" si="2"/>
        <v>0.2</v>
      </c>
      <c r="K9" s="113"/>
      <c r="L9" s="13" t="e">
        <f t="shared" ca="1" si="3"/>
        <v>#NAME?</v>
      </c>
      <c r="M9" s="1" t="e">
        <f t="shared" ca="1" si="4"/>
        <v>#NAME?</v>
      </c>
      <c r="N9" s="1" t="e">
        <f ca="1">a_i($E9,$F9)*alpha($H9,$I9)</f>
        <v>#NAME?</v>
      </c>
      <c r="O9" s="1" t="e">
        <f t="shared" ca="1" si="0"/>
        <v>#NAME?</v>
      </c>
      <c r="P9" s="1" t="e">
        <f ca="1">INDEX(AB_Calc(a_iVal2, b_iVal2,y_iVal2,Kij_Val,COUNTA(Chem2),$AC$3,$C$5,$K$7,BIPset),1)</f>
        <v>#NAME?</v>
      </c>
      <c r="Q9" s="1" t="e">
        <f ca="1">INDEX(AB_Calc(a_iVal2, b_iVal2,y_iVal2,Kij_Val,COUNTA(Chem2),$AC$3,$C$5,$K$7,BIPset),2)</f>
        <v>#NAME?</v>
      </c>
      <c r="R9">
        <v>1</v>
      </c>
      <c r="S9" t="e">
        <f ca="1">-(1-Q9)</f>
        <v>#NAME?</v>
      </c>
      <c r="T9" t="e">
        <f ca="1">(P9-(2*Q9)-(3*Q9^2))</f>
        <v>#NAME?</v>
      </c>
      <c r="U9" t="e">
        <f ca="1">-((P9*Q9)-(Q9^2)-(Q9^3))</f>
        <v>#NAME?</v>
      </c>
      <c r="V9" t="b">
        <f ca="1">IFERROR(INDEX(CardanoMethod(R9:U9),1),FALSE)</f>
        <v>0</v>
      </c>
      <c r="W9" t="b">
        <f ca="1">IFERROR(INDEX(CardanoMethod(R9:U9),2),FALSE)</f>
        <v>0</v>
      </c>
      <c r="X9" t="b">
        <f ca="1">IFERROR(INDEX(CardanoMethod(R9:U9),3),FALSE)</f>
        <v>0</v>
      </c>
      <c r="Y9">
        <f ca="1">MAX(V9:X9)</f>
        <v>0</v>
      </c>
      <c r="Z9" s="1" t="e">
        <f ca="1">IF(C9="","",psi_i(a_iVal2,x_iVal2,A9,Kij_Val,BIPset,$AC$3,COUNTA(Chem2)))</f>
        <v>#NAME?</v>
      </c>
      <c r="AA9" s="1" t="e">
        <f ca="1">IF(C9="","",psi_i(a_iVal2,y_iVal2,A9,Kij_Val,BIPset,$AC$3,COUNTA(Chem2)))</f>
        <v>#NAME?</v>
      </c>
      <c r="AB9" s="64" t="s">
        <v>205</v>
      </c>
      <c r="AC9" s="1" t="e">
        <f t="shared" ca="1" si="5"/>
        <v>#NAME?</v>
      </c>
      <c r="AD9" s="1" t="e">
        <f t="shared" ca="1" si="6"/>
        <v>#NAME?</v>
      </c>
      <c r="AE9" s="84" t="s">
        <v>206</v>
      </c>
      <c r="AF9" s="1" t="e">
        <f ca="1">IF(C9="",0,phi_i($Y$7,$P$7,$Q$7,O9,$AE$7,Z9,$AB$7))</f>
        <v>#NAME?</v>
      </c>
      <c r="AG9" s="1" t="e">
        <f ca="1">IF(C9="",0,phi_i($Y$9,$P$9,$Q$9,O9,$AE$10,AA9,$AB$10))</f>
        <v>#NAME?</v>
      </c>
      <c r="AH9" s="1" t="e">
        <f t="shared" ca="1" si="7"/>
        <v>#NAME?</v>
      </c>
      <c r="AI9" s="1" t="e">
        <f t="shared" ca="1" si="8"/>
        <v>#NAME?</v>
      </c>
      <c r="AJ9" t="e">
        <f t="shared" ca="1" si="9"/>
        <v>#NAME?</v>
      </c>
      <c r="AK9" s="68" t="s">
        <v>207</v>
      </c>
      <c r="AL9" t="e">
        <f t="shared" ca="1" si="10"/>
        <v>#NAME?</v>
      </c>
      <c r="AN9" t="e">
        <f t="shared" ca="1" si="11"/>
        <v>#NAME?</v>
      </c>
      <c r="AO9" s="89" t="e">
        <f t="shared" ca="1" si="12"/>
        <v>#NAME?</v>
      </c>
      <c r="AP9" s="1" t="e">
        <f ca="1">INDEX(AB_Calc(a_iVal2, b_iVal2,y_iVal3,Kij_Val,COUNTA(Chem2),$AC$3,$C$5,$AM$7,BIPset),1)</f>
        <v>#NAME?</v>
      </c>
      <c r="AQ9" s="1" t="e">
        <f ca="1">INDEX(AB_Calc(a_iVal2, b_iVal2,y_iVal3,Kij_Val,COUNTA(Chem2),$AC$3,$C$5,$AM$7,BIPset),2)</f>
        <v>#NAME?</v>
      </c>
      <c r="AR9">
        <v>1</v>
      </c>
      <c r="AS9" t="e">
        <f ca="1">-(1-AQ9)</f>
        <v>#NAME?</v>
      </c>
      <c r="AT9" t="e">
        <f ca="1">(AP9-(2*AQ9)-(3*AQ9^2))</f>
        <v>#NAME?</v>
      </c>
      <c r="AU9" t="e">
        <f ca="1">-((AP9*AQ9)-(AQ9^2)-(AQ9^3))</f>
        <v>#NAME?</v>
      </c>
      <c r="AV9" t="b">
        <f ca="1">IFERROR(INDEX(CardanoMethod(AR9:AU9),1),FALSE)</f>
        <v>0</v>
      </c>
      <c r="AW9" t="b">
        <f ca="1">IFERROR(INDEX(CardanoMethod(AR9:AU9),2),FALSE)</f>
        <v>0</v>
      </c>
      <c r="AX9" t="b">
        <f ca="1">IFERROR(INDEX(CardanoMethod(AR9:AU9),3),FALSE)</f>
        <v>0</v>
      </c>
      <c r="AY9">
        <f ca="1">MAX(AV9:AX9)</f>
        <v>0</v>
      </c>
      <c r="AZ9" s="1" t="e">
        <f ca="1">IF($C9="","",psi_i(a_iVal2,x_iVal2,$A9,Kij_Val,BIPset,$AC$3,COUNTA(Chem2)))</f>
        <v>#NAME?</v>
      </c>
      <c r="BA9" s="1" t="e">
        <f ca="1">IF($C9="","",psi_i(a_iVal2,y_iVal3,$A9,Kij_Val,BIPset,$AC$3,COUNTA(Chem2)))</f>
        <v>#NAME?</v>
      </c>
      <c r="BB9" s="64" t="s">
        <v>205</v>
      </c>
      <c r="BC9" s="1" t="e">
        <f t="shared" ca="1" si="13"/>
        <v>#NAME?</v>
      </c>
      <c r="BD9" s="1" t="e">
        <f t="shared" ca="1" si="14"/>
        <v>#NAME?</v>
      </c>
      <c r="BE9" s="84" t="s">
        <v>206</v>
      </c>
      <c r="BF9" s="1" t="e">
        <f ca="1">IF($C9="",0,phi_i($AY$7,$AP$7,$AQ$7,O9,$BE$7,AZ9,$BB$7))</f>
        <v>#NAME?</v>
      </c>
      <c r="BG9" s="1" t="e">
        <f ca="1">IF(AC9="",0,phi_i($AY$9,$AP$9,$AQ$9,O9,$BE$10,BA9,$BB$10))</f>
        <v>#NAME?</v>
      </c>
      <c r="BH9" s="1" t="e">
        <f t="shared" ca="1" si="15"/>
        <v>#NAME?</v>
      </c>
      <c r="BI9" s="1" t="e">
        <f t="shared" ca="1" si="16"/>
        <v>#NAME?</v>
      </c>
      <c r="BJ9" t="e">
        <f t="shared" ca="1" si="17"/>
        <v>#NAME?</v>
      </c>
      <c r="BK9" s="68" t="s">
        <v>207</v>
      </c>
      <c r="BL9" t="e">
        <f t="shared" ca="1" si="18"/>
        <v>#NAME?</v>
      </c>
      <c r="BN9" t="e">
        <f t="shared" ca="1" si="19"/>
        <v>#NAME?</v>
      </c>
      <c r="BO9" s="89" t="e">
        <f t="shared" ca="1" si="20"/>
        <v>#NAME?</v>
      </c>
      <c r="BP9" s="1" t="e">
        <f ca="1">INDEX(AB_Calc(a_iVal2, b_iVal2,y_iVal4,Kij_Val,COUNTA(Chem2),$AC$3,$C$5,$BM$7,BIPset),1)</f>
        <v>#NAME?</v>
      </c>
      <c r="BQ9" s="1" t="e">
        <f ca="1">INDEX(AB_Calc(a_iVal2, b_iVal2,y_iVal4,Kij_Val,COUNTA(Chem2),$AC$3,$C$5,$BM$7,BIPset),2)</f>
        <v>#NAME?</v>
      </c>
      <c r="BR9">
        <v>1</v>
      </c>
      <c r="BS9" t="e">
        <f ca="1">-(1-BQ9)</f>
        <v>#NAME?</v>
      </c>
      <c r="BT9" t="e">
        <f ca="1">(BP9-(2*BQ9)-(3*BQ9^2))</f>
        <v>#NAME?</v>
      </c>
      <c r="BU9" t="e">
        <f ca="1">-((BP9*BQ9)-(BQ9^2)-(BQ9^3))</f>
        <v>#NAME?</v>
      </c>
      <c r="BV9" t="b">
        <f ca="1">IFERROR(INDEX(CardanoMethod(BR9:BU9),1),FALSE)</f>
        <v>0</v>
      </c>
      <c r="BW9" t="b">
        <f ca="1">IFERROR(INDEX(CardanoMethod(BR9:BU9),2),FALSE)</f>
        <v>0</v>
      </c>
      <c r="BX9" t="b">
        <f ca="1">IFERROR(INDEX(CardanoMethod(BR9:BU9),3),FALSE)</f>
        <v>0</v>
      </c>
      <c r="BY9">
        <f ca="1">MAX(BV9:BX9)</f>
        <v>0</v>
      </c>
      <c r="BZ9" s="1" t="e">
        <f ca="1">IF($C9="","",psi_i(a_iVal2,x_iVal2,$A9,Kij_Val,BIPset,$AC$3,COUNTA(Chem2)))</f>
        <v>#NAME?</v>
      </c>
      <c r="CA9" s="1" t="e">
        <f ca="1">IF($C9="","",psi_i(a_iVal2,y_iVal4,$A9,Kij_Val,BIPset,$AC$3,COUNTA(Chem2)))</f>
        <v>#NAME?</v>
      </c>
      <c r="CB9" s="64" t="s">
        <v>205</v>
      </c>
      <c r="CC9" s="1" t="e">
        <f t="shared" ca="1" si="21"/>
        <v>#NAME?</v>
      </c>
      <c r="CD9" s="1" t="e">
        <f t="shared" ca="1" si="22"/>
        <v>#NAME?</v>
      </c>
      <c r="CE9" s="84" t="s">
        <v>206</v>
      </c>
      <c r="CF9" s="1" t="e">
        <f ca="1">IF($C9="",0,phi_i($BY$7,$BP$7,$BQ$7,O9,$CE$7,BZ9,$CB$7))</f>
        <v>#NAME?</v>
      </c>
      <c r="CG9" s="1" t="e">
        <f ca="1">IF($C9="",0,phi_i($BY$9,$BP$9,$BQ$9,O9,$CE$10,$CA$7,$CB$10))</f>
        <v>#NAME?</v>
      </c>
      <c r="CH9" s="1" t="e">
        <f t="shared" ca="1" si="23"/>
        <v>#NAME?</v>
      </c>
      <c r="CI9" s="1" t="e">
        <f t="shared" ca="1" si="24"/>
        <v>#NAME?</v>
      </c>
      <c r="CJ9" t="e">
        <f t="shared" ca="1" si="25"/>
        <v>#NAME?</v>
      </c>
      <c r="CK9" s="68" t="s">
        <v>207</v>
      </c>
      <c r="CL9" t="e">
        <f t="shared" ca="1" si="26"/>
        <v>#NAME?</v>
      </c>
      <c r="CN9" t="e">
        <f t="shared" ca="1" si="27"/>
        <v>#NAME?</v>
      </c>
      <c r="CO9" s="89" t="e">
        <f t="shared" ca="1" si="28"/>
        <v>#NAME?</v>
      </c>
      <c r="CP9" s="1" t="e">
        <f ca="1">INDEX(AB_Calc(a_iVal2, b_iVal2,y_iVal5,Kij_Val,COUNTA(Chem2),$AC$3,$C$5,$CM$7,BIPset),1)</f>
        <v>#NAME?</v>
      </c>
      <c r="CQ9" s="1" t="e">
        <f ca="1">INDEX(AB_Calc(a_iVal2, b_iVal2,y_iVal5,Kij_Val,COUNTA(Chem2),$AC$3,$C$5,$CM$7,BIPset),2)</f>
        <v>#NAME?</v>
      </c>
      <c r="CR9">
        <v>1</v>
      </c>
      <c r="CS9" t="e">
        <f ca="1">-(1-CQ9)</f>
        <v>#NAME?</v>
      </c>
      <c r="CT9" t="e">
        <f ca="1">(CP9-(2*CQ9)-(3*CQ9^2))</f>
        <v>#NAME?</v>
      </c>
      <c r="CU9" t="e">
        <f ca="1">-((CP9*CQ9)-(CQ9^2)-(CQ9^3))</f>
        <v>#NAME?</v>
      </c>
      <c r="CV9" t="b">
        <f ca="1">IFERROR(INDEX(CardanoMethod(CR9:CU9),1),FALSE)</f>
        <v>0</v>
      </c>
      <c r="CW9" t="b">
        <f ca="1">IFERROR(INDEX(CardanoMethod(CR9:CU9),2),FALSE)</f>
        <v>0</v>
      </c>
      <c r="CX9" t="b">
        <f ca="1">IFERROR(INDEX(CardanoMethod(CR9:CU9),3),FALSE)</f>
        <v>0</v>
      </c>
      <c r="CY9">
        <f ca="1">MAX(CV9:CX9)</f>
        <v>0</v>
      </c>
      <c r="CZ9" s="1" t="e">
        <f ca="1">IF($C9="","",psi_i(a_iVal2,x_iVal2,$A9,Kij_Val,BIPset,$AC$3,COUNTA(Chem2)))</f>
        <v>#NAME?</v>
      </c>
      <c r="DA9" s="1" t="e">
        <f ca="1">IF($C9="","",psi_i(a_iVal2,y_iVal5,$A9,Kij_Val,BIPset,$AC$3,COUNTA(Chem2)))</f>
        <v>#NAME?</v>
      </c>
      <c r="DB9" s="64" t="s">
        <v>205</v>
      </c>
      <c r="DC9" s="1" t="e">
        <f t="shared" ca="1" si="29"/>
        <v>#NAME?</v>
      </c>
      <c r="DD9" s="1" t="e">
        <f t="shared" ca="1" si="30"/>
        <v>#NAME?</v>
      </c>
      <c r="DE9" s="84" t="s">
        <v>206</v>
      </c>
      <c r="DF9" s="1" t="e">
        <f ca="1">IF($C9="",0,phi_i($CY$7,$CP$7,$CQ$7,O9,$DE$7,CZ9,$DB$7))</f>
        <v>#NAME?</v>
      </c>
      <c r="DG9" s="1" t="e">
        <f ca="1">IF($C9="",0,phi_i($CY$9,$CP$9,$CQ$9,O9,$DE$10,DA9,$DB$10))</f>
        <v>#NAME?</v>
      </c>
      <c r="DH9" s="1" t="e">
        <f t="shared" ca="1" si="31"/>
        <v>#NAME?</v>
      </c>
      <c r="DI9" s="1" t="e">
        <f t="shared" ca="1" si="32"/>
        <v>#NAME?</v>
      </c>
      <c r="DJ9" t="e">
        <f t="shared" ca="1" si="33"/>
        <v>#NAME?</v>
      </c>
      <c r="DK9" s="68" t="s">
        <v>207</v>
      </c>
      <c r="DL9" t="e">
        <f t="shared" ca="1" si="34"/>
        <v>#NAME?</v>
      </c>
      <c r="DN9" t="e">
        <f t="shared" ca="1" si="35"/>
        <v>#NAME?</v>
      </c>
      <c r="DO9" s="89" t="e">
        <f t="shared" ca="1" si="36"/>
        <v>#NAME?</v>
      </c>
      <c r="DP9" s="1" t="e">
        <f ca="1">INDEX(AB_Calc(a_iVal2, b_iVal2,y_iVal6,Kij_Val,COUNTA(Chem2),$AC$3,$C$5,$DM$7,BIPset),1)</f>
        <v>#NAME?</v>
      </c>
      <c r="DQ9" s="1" t="e">
        <f ca="1">INDEX(AB_Calc(a_iVal2, b_iVal2,y_iVal6,Kij_Val,COUNTA(Chem2),$AC$3,$C$5,$DM$7,BIPset),2)</f>
        <v>#NAME?</v>
      </c>
      <c r="DR9">
        <v>1</v>
      </c>
      <c r="DS9" t="e">
        <f ca="1">-(1-DQ9)</f>
        <v>#NAME?</v>
      </c>
      <c r="DT9" t="e">
        <f ca="1">(DP9-(2*DQ9)-(3*DQ9^2))</f>
        <v>#NAME?</v>
      </c>
      <c r="DU9" t="e">
        <f ca="1">-((DP9*DQ9)-(DQ9^2)-(DQ9^3))</f>
        <v>#NAME?</v>
      </c>
      <c r="DV9" t="b">
        <f ca="1">IFERROR(INDEX(CardanoMethod(DR9:DU9),1),FALSE)</f>
        <v>0</v>
      </c>
      <c r="DW9" t="b">
        <f ca="1">IFERROR(INDEX(CardanoMethod(DR9:DU9),2),FALSE)</f>
        <v>0</v>
      </c>
      <c r="DX9" t="b">
        <f ca="1">IFERROR(INDEX(CardanoMethod(DR9:DU9),3),FALSE)</f>
        <v>0</v>
      </c>
      <c r="DY9">
        <f ca="1">MAX(DV9:DX9)</f>
        <v>0</v>
      </c>
      <c r="DZ9" s="1" t="e">
        <f ca="1">IF($C9="","",psi_i(a_iVal2,x_iVal2,$A9,Kij_Val,BIPset,$AC$3,COUNTA(Chem2)))</f>
        <v>#NAME?</v>
      </c>
      <c r="EA9" s="1" t="e">
        <f ca="1">IF($C9="","",psi_i(a_iVal2,y_iVal6,$A9,Kij_Val,BIPset,$AC$3,COUNTA(Chem2)))</f>
        <v>#NAME?</v>
      </c>
      <c r="EB9" s="64" t="s">
        <v>205</v>
      </c>
      <c r="EC9" s="1" t="e">
        <f t="shared" ca="1" si="37"/>
        <v>#NAME?</v>
      </c>
      <c r="ED9" s="1" t="e">
        <f t="shared" ca="1" si="38"/>
        <v>#NAME?</v>
      </c>
      <c r="EE9" s="84" t="s">
        <v>206</v>
      </c>
      <c r="EF9" s="1" t="e">
        <f ca="1">IF($C9="",0,phi_i($DY$7,$DP$7,$DQ$7,O9,$EE$7,DZ9,$EB$7))</f>
        <v>#NAME?</v>
      </c>
      <c r="EG9" s="1" t="e">
        <f ca="1">IF($C9="",0,phi_i($DY$9,$DP$9,$DQ$9,O9,$EE$10,EA9,$EB$10))</f>
        <v>#NAME?</v>
      </c>
      <c r="EH9" s="1" t="e">
        <f t="shared" ca="1" si="39"/>
        <v>#NAME?</v>
      </c>
      <c r="EI9" s="1" t="e">
        <f t="shared" ca="1" si="40"/>
        <v>#NAME?</v>
      </c>
      <c r="EJ9" t="e">
        <f t="shared" ca="1" si="41"/>
        <v>#NAME?</v>
      </c>
      <c r="EK9" s="68" t="s">
        <v>207</v>
      </c>
      <c r="EL9" t="e">
        <f t="shared" ca="1" si="42"/>
        <v>#NAME?</v>
      </c>
      <c r="EN9" t="e">
        <f t="shared" ca="1" si="43"/>
        <v>#NAME?</v>
      </c>
      <c r="EO9" s="89" t="e">
        <f t="shared" ca="1" si="44"/>
        <v>#NAME?</v>
      </c>
      <c r="EP9" s="1" t="e">
        <f ca="1">INDEX(AB_Calc(a_iVal2, b_iVal2,y_iVal7,Kij_Val,COUNTA(Chem2),$AC$3,$C$5,$EM$7,BIPset),1)</f>
        <v>#NAME?</v>
      </c>
      <c r="EQ9" s="1" t="e">
        <f ca="1">INDEX(AB_Calc(a_iVal2, b_iVal2,y_iVal7,Kij_Val,COUNTA(Chem2),$AC$3,$C$5,$EM$7,BIPset),2)</f>
        <v>#NAME?</v>
      </c>
      <c r="ER9">
        <v>1</v>
      </c>
      <c r="ES9" t="e">
        <f ca="1">-(1-EQ9)</f>
        <v>#NAME?</v>
      </c>
      <c r="ET9" t="e">
        <f ca="1">(EP9-(2*EQ9)-(3*EQ9^2))</f>
        <v>#NAME?</v>
      </c>
      <c r="EU9" t="e">
        <f ca="1">-((EP9*EQ9)-(EQ9^2)-(EQ9^3))</f>
        <v>#NAME?</v>
      </c>
      <c r="EV9" t="b">
        <f ca="1">IFERROR(INDEX(CardanoMethod(ER9:EU9),1),FALSE)</f>
        <v>0</v>
      </c>
      <c r="EW9" t="b">
        <f ca="1">IFERROR(INDEX(CardanoMethod(ER9:EU9),2),FALSE)</f>
        <v>0</v>
      </c>
      <c r="EX9" t="b">
        <f ca="1">IFERROR(INDEX(CardanoMethod(ER9:EU9),3),FALSE)</f>
        <v>0</v>
      </c>
      <c r="EY9">
        <f ca="1">MAX(EV9:EX9)</f>
        <v>0</v>
      </c>
      <c r="EZ9" s="1" t="e">
        <f ca="1">IF($C9="","",psi_i(a_iVal2,x_iVal2,$A9,Kij_Val,BIPset,$AC$3,COUNTA(Chem2)))</f>
        <v>#NAME?</v>
      </c>
      <c r="FA9" s="1" t="e">
        <f ca="1">IF($C9="","",psi_i(a_iVal2,y_iVal7,$A9,Kij_Val,BIPset,$AC$3,COUNTA(Chem2)))</f>
        <v>#NAME?</v>
      </c>
      <c r="FB9" s="64" t="s">
        <v>205</v>
      </c>
      <c r="FC9" s="1" t="e">
        <f t="shared" ca="1" si="45"/>
        <v>#NAME?</v>
      </c>
      <c r="FD9" s="1" t="e">
        <f t="shared" ca="1" si="46"/>
        <v>#NAME?</v>
      </c>
      <c r="FE9" s="84" t="s">
        <v>206</v>
      </c>
      <c r="FF9" s="1" t="e">
        <f ca="1">IF($C9="",0,phi_i($EY$7,$EP$7,$EQ$7,O9,$FE$7,EZ9,$FB$7))</f>
        <v>#NAME?</v>
      </c>
      <c r="FG9" s="1" t="e">
        <f ca="1">IF($C9="",0,phi_i($EY$9,$EP$9,$EQ$9,O9,$FE$10,FA9,$FB$10))</f>
        <v>#NAME?</v>
      </c>
      <c r="FH9" s="1" t="e">
        <f t="shared" ca="1" si="47"/>
        <v>#NAME?</v>
      </c>
      <c r="FI9" s="1" t="e">
        <f t="shared" ca="1" si="48"/>
        <v>#NAME?</v>
      </c>
      <c r="FJ9" t="e">
        <f t="shared" ca="1" si="49"/>
        <v>#NAME?</v>
      </c>
      <c r="FK9" s="68" t="s">
        <v>207</v>
      </c>
      <c r="FL9" t="e">
        <f t="shared" ca="1" si="50"/>
        <v>#NAME?</v>
      </c>
      <c r="FN9" t="e">
        <f t="shared" ca="1" si="51"/>
        <v>#NAME?</v>
      </c>
      <c r="FO9" s="89" t="e">
        <f t="shared" ca="1" si="52"/>
        <v>#NAME?</v>
      </c>
      <c r="FP9" s="1" t="e">
        <f ca="1">INDEX(AB_Calc(a_iVal2, b_iVal2,y_iVal8,Kij_Val,COUNTA(Chem2),$AC$3,$C$5,$FM$7,BIPset),1)</f>
        <v>#NAME?</v>
      </c>
      <c r="FQ9" s="1" t="e">
        <f ca="1">INDEX(AB_Calc(a_iVal2, b_iVal2,y_iVal8,Kij_Val,COUNTA(Chem2),$AC$3,$C$5,$FM$7,BIPset),2)</f>
        <v>#NAME?</v>
      </c>
      <c r="FR9">
        <v>1</v>
      </c>
      <c r="FS9" t="e">
        <f ca="1">-(1-FQ9)</f>
        <v>#NAME?</v>
      </c>
      <c r="FT9" t="e">
        <f ca="1">(FP9-(2*FQ9)-(3*FQ9^2))</f>
        <v>#NAME?</v>
      </c>
      <c r="FU9" t="e">
        <f ca="1">-((FP9*FQ9)-(FQ9^2)-(FQ9^3))</f>
        <v>#NAME?</v>
      </c>
      <c r="FV9" t="b">
        <f ca="1">IFERROR(INDEX(CardanoMethod(FR9:FU9),1),FALSE)</f>
        <v>0</v>
      </c>
      <c r="FW9" t="b">
        <f ca="1">IFERROR(INDEX(CardanoMethod(FR9:FU9),2),FALSE)</f>
        <v>0</v>
      </c>
      <c r="FX9" t="b">
        <f ca="1">IFERROR(INDEX(CardanoMethod(FR9:FU9),3),FALSE)</f>
        <v>0</v>
      </c>
      <c r="FY9">
        <f ca="1">MAX(FV9:FX9)</f>
        <v>0</v>
      </c>
      <c r="FZ9" s="1" t="e">
        <f ca="1">IF($C9="","",psi_i(a_iVal2,x_iVal2,$A9,Kij_Val,BIPset,$AC$3,COUNTA(Chem2)))</f>
        <v>#NAME?</v>
      </c>
      <c r="GA9" s="1" t="e">
        <f ca="1">IF($C9="","",psi_i(a_iVal2,y_iVal8,$A9,Kij_Val,BIPset,$AC$3,COUNTA(Chem2)))</f>
        <v>#NAME?</v>
      </c>
      <c r="GB9" s="64" t="s">
        <v>205</v>
      </c>
      <c r="GC9" s="1" t="e">
        <f t="shared" ca="1" si="53"/>
        <v>#NAME?</v>
      </c>
      <c r="GD9" s="1" t="e">
        <f t="shared" ca="1" si="54"/>
        <v>#NAME?</v>
      </c>
      <c r="GE9" s="84" t="s">
        <v>206</v>
      </c>
      <c r="GF9" s="1" t="e">
        <f ca="1">IF($C9="",0,phi_i($FY$7,$FP$7,$FQ$7,O9,$GE$7,FZ9,$GB$7))</f>
        <v>#NAME?</v>
      </c>
      <c r="GG9" s="1" t="e">
        <f ca="1">IF($C9="",0,phi_i($FY$9,$FP$9,$FQ$9,O9,$GE$10,GA9,$GB$10))</f>
        <v>#NAME?</v>
      </c>
      <c r="GH9" s="1" t="e">
        <f t="shared" ca="1" si="55"/>
        <v>#NAME?</v>
      </c>
      <c r="GI9" s="1" t="e">
        <f t="shared" ca="1" si="56"/>
        <v>#NAME?</v>
      </c>
      <c r="GJ9" t="e">
        <f t="shared" ca="1" si="57"/>
        <v>#NAME?</v>
      </c>
      <c r="GK9" s="68" t="s">
        <v>207</v>
      </c>
      <c r="GL9" t="e">
        <f t="shared" ca="1" si="58"/>
        <v>#NAME?</v>
      </c>
      <c r="GN9" t="e">
        <f t="shared" ca="1" si="59"/>
        <v>#NAME?</v>
      </c>
      <c r="GO9" s="89" t="e">
        <f t="shared" ca="1" si="60"/>
        <v>#NAME?</v>
      </c>
      <c r="GP9" s="1" t="e">
        <f ca="1">INDEX(AB_Calc(a_iVal2, b_iVal2,y_iVal9,Kij_Val,COUNTA(Chem2),$AC$3,$C$5,$GM$7,BIPset),1)</f>
        <v>#NAME?</v>
      </c>
      <c r="GQ9" s="1" t="e">
        <f ca="1">INDEX(AB_Calc(a_iVal2, b_iVal2,y_iVal9,Kij_Val,COUNTA(Chem2),$AC$3,$C$5,$GM$7,BIPset),2)</f>
        <v>#NAME?</v>
      </c>
      <c r="GR9">
        <v>1</v>
      </c>
      <c r="GS9" t="e">
        <f ca="1">-(1-GQ9)</f>
        <v>#NAME?</v>
      </c>
      <c r="GT9" t="e">
        <f ca="1">(GP9-(2*GQ9)-(3*GQ9^2))</f>
        <v>#NAME?</v>
      </c>
      <c r="GU9" t="e">
        <f ca="1">-((GP9*GQ9)-(GQ9^2)-(GQ9^3))</f>
        <v>#NAME?</v>
      </c>
      <c r="GV9" t="b">
        <f ca="1">IFERROR(INDEX(CardanoMethod(GR9:GU9),1),FALSE)</f>
        <v>0</v>
      </c>
      <c r="GW9" t="b">
        <f ca="1">IFERROR(INDEX(CardanoMethod(GR9:GU9),2),FALSE)</f>
        <v>0</v>
      </c>
      <c r="GX9" t="b">
        <f ca="1">IFERROR(INDEX(CardanoMethod(GR9:GU9),3),FALSE)</f>
        <v>0</v>
      </c>
      <c r="GY9">
        <f ca="1">MAX(GV9:GX9)</f>
        <v>0</v>
      </c>
      <c r="GZ9" s="1" t="e">
        <f ca="1">IF($C9="","",psi_i(a_iVal2,x_iVal2,$A9,Kij_Val,BIPset,$AC$3,COUNTA(Chem2)))</f>
        <v>#NAME?</v>
      </c>
      <c r="HA9" s="1" t="e">
        <f ca="1">IF($C9="","",psi_i(a_iVal2,y_iVal9,$A9,Kij_Val,BIPset,$AC$3,COUNTA(Chem2)))</f>
        <v>#NAME?</v>
      </c>
      <c r="HB9" s="64" t="s">
        <v>205</v>
      </c>
      <c r="HC9" s="1" t="e">
        <f t="shared" ca="1" si="61"/>
        <v>#NAME?</v>
      </c>
      <c r="HD9" s="1" t="e">
        <f t="shared" ca="1" si="62"/>
        <v>#NAME?</v>
      </c>
      <c r="HE9" s="84" t="s">
        <v>206</v>
      </c>
      <c r="HF9" s="1" t="e">
        <f ca="1">IF($C9="",0,phi_i($GY$7,$GP$7,$GQ$7,O9,$HE$7,GZ9,$HB$7))</f>
        <v>#NAME?</v>
      </c>
      <c r="HG9" s="1" t="e">
        <f ca="1">IF($C9="",0,phi_i($GY$9,$GP$9,$GQ$9,O9,$HE$10,HA9,$HB$10))</f>
        <v>#NAME?</v>
      </c>
      <c r="HH9" s="1" t="e">
        <f t="shared" ca="1" si="63"/>
        <v>#NAME?</v>
      </c>
      <c r="HI9" s="1" t="e">
        <f t="shared" ca="1" si="64"/>
        <v>#NAME?</v>
      </c>
      <c r="HJ9" t="e">
        <f t="shared" ca="1" si="65"/>
        <v>#NAME?</v>
      </c>
      <c r="HK9" s="68" t="s">
        <v>207</v>
      </c>
      <c r="HL9" t="e">
        <f t="shared" ca="1" si="66"/>
        <v>#NAME?</v>
      </c>
      <c r="HN9" t="e">
        <f t="shared" ca="1" si="67"/>
        <v>#NAME?</v>
      </c>
      <c r="HO9" s="89" t="e">
        <f t="shared" ca="1" si="68"/>
        <v>#NAME?</v>
      </c>
      <c r="HP9" s="1" t="e">
        <f ca="1">INDEX(AB_Calc(a_iVal2, b_iVal2,y_iVal10,Kij_Val,COUNTA(Chem2),$AC$3,$C$5,$HM$7,BIPset),1)</f>
        <v>#NAME?</v>
      </c>
      <c r="HQ9" s="1" t="e">
        <f ca="1">INDEX(AB_Calc(a_iVal2, b_iVal2,y_iVal10,Kij_Val,COUNTA(Chem2),$AC$3,$C$5,$HM$7,BIPset),2)</f>
        <v>#NAME?</v>
      </c>
      <c r="HR9">
        <v>1</v>
      </c>
      <c r="HS9" t="e">
        <f ca="1">-(1-HQ9)</f>
        <v>#NAME?</v>
      </c>
      <c r="HT9" t="e">
        <f ca="1">(HP9-(2*HQ9)-(3*HQ9^2))</f>
        <v>#NAME?</v>
      </c>
      <c r="HU9" t="e">
        <f ca="1">-((HP9*HQ9)-(HQ9^2)-(HQ9^3))</f>
        <v>#NAME?</v>
      </c>
      <c r="HV9" t="b">
        <f ca="1">IFERROR(INDEX(CardanoMethod(HR9:HU9),1),FALSE)</f>
        <v>0</v>
      </c>
      <c r="HW9" t="b">
        <f ca="1">IFERROR(INDEX(CardanoMethod(HR9:HU9),2),FALSE)</f>
        <v>0</v>
      </c>
      <c r="HX9" t="b">
        <f ca="1">IFERROR(INDEX(CardanoMethod(HR9:HU9),3),FALSE)</f>
        <v>0</v>
      </c>
      <c r="HY9">
        <f ca="1">MAX(HV9:HX9)</f>
        <v>0</v>
      </c>
      <c r="HZ9" s="1" t="e">
        <f ca="1">IF($C9="","",psi_i(a_iVal2,x_iVal2,$A9,Kij_Val,BIPset,$AC$3,COUNTA(Chem2)))</f>
        <v>#NAME?</v>
      </c>
      <c r="IA9" s="1" t="e">
        <f ca="1">IF($C9="","",psi_i(a_iVal2,y_iVal10,$A9,Kij_Val,BIPset,$AC$3,COUNTA(Chem2)))</f>
        <v>#NAME?</v>
      </c>
      <c r="IB9" s="64" t="s">
        <v>205</v>
      </c>
      <c r="IC9" s="1" t="e">
        <f t="shared" ca="1" si="69"/>
        <v>#NAME?</v>
      </c>
      <c r="ID9" s="1" t="e">
        <f t="shared" ca="1" si="70"/>
        <v>#NAME?</v>
      </c>
      <c r="IE9" s="84" t="s">
        <v>206</v>
      </c>
      <c r="IF9" s="1" t="e">
        <f ca="1">IF($C9="",0,phi_i($HY$7,$HP$7,$HQ$7,O9,$IE$7,HZ9,$IB$7))</f>
        <v>#NAME?</v>
      </c>
      <c r="IG9" s="1" t="e">
        <f ca="1">IF($C9="",0,phi_i($HY$9,$HP$9,$HQ$9,O9,$IE$10,IA9,$IB$10))</f>
        <v>#NAME?</v>
      </c>
      <c r="IH9" s="1" t="e">
        <f t="shared" ca="1" si="71"/>
        <v>#NAME?</v>
      </c>
      <c r="II9" s="1" t="e">
        <f t="shared" ca="1" si="72"/>
        <v>#NAME?</v>
      </c>
      <c r="IJ9" t="e">
        <f t="shared" ca="1" si="73"/>
        <v>#NAME?</v>
      </c>
      <c r="IK9" s="68" t="s">
        <v>207</v>
      </c>
      <c r="IL9" t="e">
        <f t="shared" ca="1" si="74"/>
        <v>#NAME?</v>
      </c>
      <c r="IN9" t="e">
        <f t="shared" ca="1" si="75"/>
        <v>#NAME?</v>
      </c>
      <c r="IO9" s="89" t="e">
        <f t="shared" ca="1" si="76"/>
        <v>#NAME?</v>
      </c>
      <c r="IP9" s="1" t="e">
        <f ca="1">INDEX(AB_Calc(a_iVal2, b_iVal2,y_iVal11,Kij_Val,COUNTA(Chem2),$AC$3,$C$5,$IM$7,BIPset),1)</f>
        <v>#NAME?</v>
      </c>
      <c r="IQ9" s="1" t="e">
        <f ca="1">INDEX(AB_Calc(a_iVal2, b_iVal2,y_iVal11,Kij_Val,COUNTA(Chem2),$AC$3,$C$5,$IM$7,BIPset),2)</f>
        <v>#NAME?</v>
      </c>
      <c r="IR9">
        <v>1</v>
      </c>
      <c r="IS9" t="e">
        <f ca="1">-(1-IQ9)</f>
        <v>#NAME?</v>
      </c>
      <c r="IT9" t="e">
        <f ca="1">(IP9-(2*IQ9)-(3*IQ9^2))</f>
        <v>#NAME?</v>
      </c>
      <c r="IU9" t="e">
        <f ca="1">-((IP9*IQ9)-(IQ9^2)-(IQ9^3))</f>
        <v>#NAME?</v>
      </c>
      <c r="IV9" t="b">
        <f ca="1">IFERROR(INDEX(CardanoMethod(IR9:IU9),1),FALSE)</f>
        <v>0</v>
      </c>
      <c r="IW9" t="b">
        <f ca="1">IFERROR(INDEX(CardanoMethod(IR9:IU9),2),FALSE)</f>
        <v>0</v>
      </c>
      <c r="IX9" t="b">
        <f ca="1">IFERROR(INDEX(CardanoMethod(IR9:IU9),3),FALSE)</f>
        <v>0</v>
      </c>
      <c r="IY9">
        <f ca="1">MAX(IV9:IX9)</f>
        <v>0</v>
      </c>
      <c r="IZ9" s="1" t="e">
        <f ca="1">IF($C9="","",psi_i(a_iVal2,x_iVal2,$A9,Kij_Val,BIPset,$AC$3,COUNTA(Chem2)))</f>
        <v>#NAME?</v>
      </c>
      <c r="JA9" s="1" t="e">
        <f ca="1">IF($C9="","",psi_i(a_iVal2,y_iVal10,$A9,Kij_Val,BIPset,$AC$3,COUNTA(Chem2)))</f>
        <v>#NAME?</v>
      </c>
      <c r="JB9" s="64" t="s">
        <v>205</v>
      </c>
      <c r="JC9" s="1" t="e">
        <f t="shared" ca="1" si="77"/>
        <v>#NAME?</v>
      </c>
      <c r="JD9" s="1" t="e">
        <f t="shared" ca="1" si="78"/>
        <v>#NAME?</v>
      </c>
      <c r="JE9" s="84" t="s">
        <v>206</v>
      </c>
      <c r="JF9" s="1" t="e">
        <f ca="1">IF($C9="",0,phi_i($IY$7,$IP$7,$IQ$7,O9,$JE$7,IZ9,$JB$7))</f>
        <v>#NAME?</v>
      </c>
      <c r="JG9" s="1" t="e">
        <f ca="1">IF($C9="",0,phi_i($IY$9,$IP$9,$IQ$9,O9,$JE$10,JA9,$JB$10))</f>
        <v>#NAME?</v>
      </c>
      <c r="JH9" s="1" t="e">
        <f t="shared" ca="1" si="79"/>
        <v>#NAME?</v>
      </c>
      <c r="JI9" s="1" t="e">
        <f t="shared" ca="1" si="80"/>
        <v>#NAME?</v>
      </c>
      <c r="JJ9" t="e">
        <f t="shared" ca="1" si="81"/>
        <v>#NAME?</v>
      </c>
      <c r="JK9" s="68" t="s">
        <v>207</v>
      </c>
      <c r="JL9" t="e">
        <f t="shared" ca="1" si="82"/>
        <v>#NAME?</v>
      </c>
      <c r="JN9" t="e">
        <f t="shared" ca="1" si="83"/>
        <v>#NAME?</v>
      </c>
      <c r="JO9" s="89" t="e">
        <f t="shared" ca="1" si="84"/>
        <v>#NAME?</v>
      </c>
      <c r="JP9" s="1" t="e">
        <f ca="1">INDEX(AB_Calc(a_iVal2, b_iVal2,y_iVal12,Kij_Val,COUNTA(Chem2),$AC$3,$C$5,$JM$7,BIPset),1)</f>
        <v>#NAME?</v>
      </c>
      <c r="JQ9" s="1" t="e">
        <f ca="1">INDEX(AB_Calc(a_iVal2, b_iVal2,y_iVal12,Kij_Val,COUNTA(Chem2),$AC$3,$C$5,$JM$7,BIPset),2)</f>
        <v>#NAME?</v>
      </c>
      <c r="JR9">
        <v>1</v>
      </c>
      <c r="JS9" t="e">
        <f ca="1">-(1-JQ9)</f>
        <v>#NAME?</v>
      </c>
      <c r="JT9" t="e">
        <f ca="1">(JP9-(2*JQ9)-(3*JQ9^2))</f>
        <v>#NAME?</v>
      </c>
      <c r="JU9" t="e">
        <f ca="1">-((JP9*JQ9)-(JQ9^2)-(JQ9^3))</f>
        <v>#NAME?</v>
      </c>
      <c r="JV9" t="b">
        <f ca="1">IFERROR(INDEX(CardanoMethod(JR9:JU9),1),FALSE)</f>
        <v>0</v>
      </c>
      <c r="JW9" t="b">
        <f ca="1">IFERROR(INDEX(CardanoMethod(JR9:JU9),2),FALSE)</f>
        <v>0</v>
      </c>
      <c r="JX9" t="b">
        <f ca="1">IFERROR(INDEX(CardanoMethod(JR9:JU9),3),FALSE)</f>
        <v>0</v>
      </c>
      <c r="JY9">
        <f ca="1">MAX(JV9:JX9)</f>
        <v>0</v>
      </c>
      <c r="JZ9" s="1" t="e">
        <f ca="1">IF($C9="","",psi_i(a_iVal2,x_iVal2,$A9,Kij_Val,BIPset,$AC$3,COUNTA(Chem2)))</f>
        <v>#NAME?</v>
      </c>
      <c r="KA9" s="1" t="e">
        <f ca="1">IF($C9="","",psi_i(a_iVal2,y_iVal12,$A9,Kij_Val,BIPset,$AC$3,COUNTA(Chem2)))</f>
        <v>#NAME?</v>
      </c>
      <c r="KB9" s="64" t="s">
        <v>205</v>
      </c>
      <c r="KC9" s="1" t="e">
        <f t="shared" ca="1" si="85"/>
        <v>#NAME?</v>
      </c>
      <c r="KD9" s="1" t="e">
        <f t="shared" ca="1" si="86"/>
        <v>#NAME?</v>
      </c>
      <c r="KE9" s="84" t="s">
        <v>206</v>
      </c>
      <c r="KF9" s="1" t="e">
        <f ca="1">IF($C9="",0,phi_i($JY$7,$JP$7,$JQ$7,O9,$KE$7,JZ9,$KB$7))</f>
        <v>#NAME?</v>
      </c>
      <c r="KG9" s="1" t="e">
        <f ca="1">IF($C9="",0,phi_i($JY$9,$JP$9,$JQ$9,O9,$KE$10,KA9,$KB$10))</f>
        <v>#NAME?</v>
      </c>
      <c r="KH9" s="1" t="e">
        <f t="shared" ca="1" si="87"/>
        <v>#NAME?</v>
      </c>
      <c r="KI9" s="1" t="e">
        <f t="shared" ca="1" si="88"/>
        <v>#NAME?</v>
      </c>
      <c r="KJ9" t="e">
        <f t="shared" ca="1" si="89"/>
        <v>#NAME?</v>
      </c>
      <c r="KK9" s="68" t="s">
        <v>207</v>
      </c>
      <c r="KL9" t="e">
        <f t="shared" ca="1" si="90"/>
        <v>#NAME?</v>
      </c>
      <c r="KN9" t="e">
        <f t="shared" ca="1" si="91"/>
        <v>#NAME?</v>
      </c>
      <c r="KO9" s="89" t="e">
        <f t="shared" ca="1" si="92"/>
        <v>#NAME?</v>
      </c>
      <c r="KP9" s="1" t="e">
        <f ca="1">INDEX(AB_Calc(a_iVal2, b_iVal2,y_iVal13,Kij_Val,COUNTA(Chem2),$AC$3,$C$5,$KM$7,BIPset),1)</f>
        <v>#NAME?</v>
      </c>
      <c r="KQ9" s="1" t="e">
        <f ca="1">INDEX(AB_Calc(a_iVal2, b_iVal2,y_iVal13,Kij_Val,COUNTA(Chem2),$AC$3,$C$5,$KM$7,BIPset),2)</f>
        <v>#NAME?</v>
      </c>
      <c r="KR9">
        <v>1</v>
      </c>
      <c r="KS9" t="e">
        <f ca="1">-(1-KQ9)</f>
        <v>#NAME?</v>
      </c>
      <c r="KT9" t="e">
        <f ca="1">(KP9-(2*KQ9)-(3*KQ9^2))</f>
        <v>#NAME?</v>
      </c>
      <c r="KU9" t="e">
        <f ca="1">-((KP9*KQ9)-(KQ9^2)-(KQ9^3))</f>
        <v>#NAME?</v>
      </c>
      <c r="KV9" t="b">
        <f ca="1">IFERROR(INDEX(CardanoMethod(KR9:KU9),1),FALSE)</f>
        <v>0</v>
      </c>
      <c r="KW9" t="b">
        <f ca="1">IFERROR(INDEX(CardanoMethod(KR9:KU9),2),FALSE)</f>
        <v>0</v>
      </c>
      <c r="KX9" t="b">
        <f ca="1">IFERROR(INDEX(CardanoMethod(KR9:KU9),3),FALSE)</f>
        <v>0</v>
      </c>
      <c r="KY9">
        <f ca="1">MAX(KV9:KX9)</f>
        <v>0</v>
      </c>
      <c r="KZ9" s="1" t="e">
        <f ca="1">IF($C9="","",psi_i(a_iVal2,x_iVal2,$A9,Kij_Val,BIPset,$AC$3,COUNTA(Chem2)))</f>
        <v>#NAME?</v>
      </c>
      <c r="LA9" s="1" t="e">
        <f ca="1">IF($C9="","",psi_i(a_iVal2,y_iVal13,$A9,Kij_Val,BIPset,$AC$3,COUNTA(Chem2)))</f>
        <v>#NAME?</v>
      </c>
      <c r="LB9" s="64" t="s">
        <v>205</v>
      </c>
      <c r="LC9" s="1" t="e">
        <f t="shared" ca="1" si="93"/>
        <v>#NAME?</v>
      </c>
      <c r="LD9" s="1" t="e">
        <f t="shared" ca="1" si="94"/>
        <v>#NAME?</v>
      </c>
      <c r="LE9" s="84" t="s">
        <v>206</v>
      </c>
      <c r="LF9" s="1" t="e">
        <f ca="1">IF($C9="",0,phi_i($KY$7,$KP$7,$KQ$7,O9,$LE$7,KZ9,$LB$7))</f>
        <v>#NAME?</v>
      </c>
      <c r="LG9" s="1" t="e">
        <f ca="1">IF($C9="",0,phi_i($KY$9,$KP$9,$KQ$9,O9,$LE$10,LA9,$LB$10))</f>
        <v>#NAME?</v>
      </c>
      <c r="LH9" s="1" t="e">
        <f t="shared" ca="1" si="95"/>
        <v>#NAME?</v>
      </c>
      <c r="LI9" s="1" t="e">
        <f t="shared" ca="1" si="96"/>
        <v>#NAME?</v>
      </c>
      <c r="LJ9" t="e">
        <f t="shared" ca="1" si="97"/>
        <v>#NAME?</v>
      </c>
      <c r="LK9" s="68" t="s">
        <v>207</v>
      </c>
      <c r="LL9" t="e">
        <f t="shared" ca="1" si="98"/>
        <v>#NAME?</v>
      </c>
      <c r="LN9" t="e">
        <f t="shared" ca="1" si="99"/>
        <v>#NAME?</v>
      </c>
      <c r="LO9" s="89" t="e">
        <f t="shared" ca="1" si="100"/>
        <v>#NAME?</v>
      </c>
      <c r="LP9" s="1" t="e">
        <f ca="1">INDEX(AB_Calc(a_iVal2, b_iVal2,y_iVal14,Kij_Val,COUNTA(Chem2),$AC$3,$C$5,$LM$7,BIPset),1)</f>
        <v>#NAME?</v>
      </c>
      <c r="LQ9" s="1" t="e">
        <f ca="1">INDEX(AB_Calc(a_iVal2, b_iVal2,y_iVal14,Kij_Val,COUNTA(Chem2),$AC$3,$C$5,$LM$7,BIPset),2)</f>
        <v>#NAME?</v>
      </c>
      <c r="LR9">
        <v>1</v>
      </c>
      <c r="LS9" t="e">
        <f ca="1">-(1-LQ9)</f>
        <v>#NAME?</v>
      </c>
      <c r="LT9" t="e">
        <f ca="1">(LP9-(2*LQ9)-(3*LQ9^2))</f>
        <v>#NAME?</v>
      </c>
      <c r="LU9" t="e">
        <f ca="1">-((LP9*LQ9)-(LQ9^2)-(LQ9^3))</f>
        <v>#NAME?</v>
      </c>
      <c r="LV9" t="b">
        <f ca="1">IFERROR(INDEX(CardanoMethod(LR9:LU9),1),FALSE)</f>
        <v>0</v>
      </c>
      <c r="LW9" t="b">
        <f ca="1">IFERROR(INDEX(CardanoMethod(LR9:LU9),2),FALSE)</f>
        <v>0</v>
      </c>
      <c r="LX9" t="b">
        <f ca="1">IFERROR(INDEX(CardanoMethod(LR9:LU9),3),FALSE)</f>
        <v>0</v>
      </c>
      <c r="LY9">
        <f ca="1">MAX(LV9:LX9)</f>
        <v>0</v>
      </c>
      <c r="LZ9" s="1" t="e">
        <f ca="1">IF($C9="","",psi_i(a_iVal2,x_iVal2,$A9,Kij_Val,BIPset,$AC$3,COUNTA(Chem2)))</f>
        <v>#NAME?</v>
      </c>
      <c r="MA9" s="1" t="e">
        <f ca="1">IF($C9="","",psi_i(a_iVal2,y_iVal14,$A9,Kij_Val,BIPset,$AC$3,COUNTA(Chem2)))</f>
        <v>#NAME?</v>
      </c>
      <c r="MB9" s="64" t="s">
        <v>205</v>
      </c>
      <c r="MC9" s="1" t="e">
        <f t="shared" ca="1" si="101"/>
        <v>#NAME?</v>
      </c>
      <c r="MD9" s="1" t="e">
        <f t="shared" ca="1" si="102"/>
        <v>#NAME?</v>
      </c>
      <c r="ME9" s="84" t="s">
        <v>206</v>
      </c>
      <c r="MF9" s="1" t="e">
        <f ca="1">IF($C9="",0,phi_i($LY$7,$LP$7,$LQ$7,O9,$ME$7,LZ9,$MB$7))</f>
        <v>#NAME?</v>
      </c>
      <c r="MG9" s="1" t="e">
        <f ca="1">IF($C9="",0,phi_i($LY$9,$LP$9,$LQ$9,O9,$ME$10,MA9,$MB$10))</f>
        <v>#NAME?</v>
      </c>
      <c r="MH9" s="1" t="e">
        <f t="shared" ca="1" si="103"/>
        <v>#NAME?</v>
      </c>
      <c r="MI9" s="1" t="e">
        <f t="shared" ca="1" si="104"/>
        <v>#NAME?</v>
      </c>
      <c r="MJ9" t="e">
        <f t="shared" ca="1" si="105"/>
        <v>#NAME?</v>
      </c>
      <c r="MK9" s="68" t="s">
        <v>207</v>
      </c>
      <c r="ML9" t="e">
        <f t="shared" ca="1" si="106"/>
        <v>#NAME?</v>
      </c>
      <c r="MN9" t="e">
        <f t="shared" ca="1" si="107"/>
        <v>#NAME?</v>
      </c>
      <c r="MO9" s="89" t="e">
        <f t="shared" ca="1" si="108"/>
        <v>#NAME?</v>
      </c>
      <c r="MP9" s="1" t="e">
        <f ca="1">INDEX(AB_Calc(a_iVal2, b_iVal2,y_iVal15,Kij_Val,COUNTA(Chem2),$AC$3,$C$5,$MM$7,BIPset),1)</f>
        <v>#NAME?</v>
      </c>
      <c r="MQ9" s="1" t="e">
        <f ca="1">INDEX(AB_Calc(a_iVal2, b_iVal2,y_iVal15,Kij_Val,COUNTA(Chem2),$AC$3,$C$5,$MM$7,BIPset),2)</f>
        <v>#NAME?</v>
      </c>
      <c r="MR9">
        <v>1</v>
      </c>
      <c r="MS9" t="e">
        <f ca="1">-(1-MQ9)</f>
        <v>#NAME?</v>
      </c>
      <c r="MT9" t="e">
        <f ca="1">(MP9-(2*MQ9)-(3*MQ9^2))</f>
        <v>#NAME?</v>
      </c>
      <c r="MU9" t="e">
        <f ca="1">-((MP9*MQ9)-(MQ9^2)-(MQ9^3))</f>
        <v>#NAME?</v>
      </c>
      <c r="MV9" t="b">
        <f ca="1">IFERROR(INDEX(CardanoMethod(MR9:MU9),1),FALSE)</f>
        <v>0</v>
      </c>
      <c r="MW9" t="b">
        <f ca="1">IFERROR(INDEX(CardanoMethod(MR9:MU9),2),FALSE)</f>
        <v>0</v>
      </c>
      <c r="MX9" t="b">
        <f ca="1">IFERROR(INDEX(CardanoMethod(MR9:MU9),3),FALSE)</f>
        <v>0</v>
      </c>
      <c r="MY9">
        <f ca="1">MAX(MV9:MX9)</f>
        <v>0</v>
      </c>
      <c r="MZ9" s="1" t="e">
        <f ca="1">IF($C9="","",psi_i(a_iVal2,x_iVal2,$A9,Kij_Val,BIPset,$AC$3,COUNTA(Chem2)))</f>
        <v>#NAME?</v>
      </c>
      <c r="NA9" s="1" t="e">
        <f ca="1">IF($C9="","",psi_i(a_iVal2,y_iVal15,$A9,Kij_Val,BIPset,$AC$3,COUNTA(Chem2)))</f>
        <v>#NAME?</v>
      </c>
      <c r="NB9" s="64" t="s">
        <v>205</v>
      </c>
      <c r="NC9" s="1" t="e">
        <f t="shared" ca="1" si="109"/>
        <v>#NAME?</v>
      </c>
      <c r="ND9" s="1" t="e">
        <f t="shared" ca="1" si="110"/>
        <v>#NAME?</v>
      </c>
      <c r="NE9" s="84" t="s">
        <v>206</v>
      </c>
      <c r="NF9" s="1" t="e">
        <f ca="1">IF($C9="",0,phi_i($MY$7,$MP$7,$MQ$7,O9,$NE$7,MZ9,$NB$7))</f>
        <v>#NAME?</v>
      </c>
      <c r="NG9" s="1" t="e">
        <f ca="1">IF($C9="",0,phi_i($MY$9,$MP$9,$MQ$9,O9,$NE$10,NA9,$NB$10))</f>
        <v>#NAME?</v>
      </c>
      <c r="NH9" s="1" t="e">
        <f t="shared" ca="1" si="111"/>
        <v>#NAME?</v>
      </c>
      <c r="NI9" s="1" t="e">
        <f t="shared" ca="1" si="112"/>
        <v>#NAME?</v>
      </c>
      <c r="NJ9" t="e">
        <f t="shared" ca="1" si="113"/>
        <v>#NAME?</v>
      </c>
      <c r="NK9" s="68" t="s">
        <v>207</v>
      </c>
      <c r="NL9" t="e">
        <f t="shared" ca="1" si="114"/>
        <v>#NAME?</v>
      </c>
      <c r="NN9" t="e">
        <f t="shared" ca="1" si="115"/>
        <v>#NAME?</v>
      </c>
      <c r="NO9" s="89" t="e">
        <f t="shared" ca="1" si="116"/>
        <v>#NAME?</v>
      </c>
      <c r="NP9" s="1" t="e">
        <f ca="1">INDEX(AB_Calc(a_iVal2, b_iVal2,y_iVal16,Kij_Val,COUNTA(Chem2),$AC$3,$C$5,$NM$7,BIPset),1)</f>
        <v>#NAME?</v>
      </c>
      <c r="NQ9" s="1" t="e">
        <f ca="1">INDEX(AB_Calc(a_iVal2, b_iVal2,y_iVal16,Kij_Val,COUNTA(Chem2),$AC$3,$C$5,$NM$7,BIPset),2)</f>
        <v>#NAME?</v>
      </c>
      <c r="NR9">
        <v>1</v>
      </c>
      <c r="NS9" t="e">
        <f ca="1">-(1-NQ9)</f>
        <v>#NAME?</v>
      </c>
      <c r="NT9" t="e">
        <f ca="1">(NP9-(2*NQ9)-(3*NQ9^2))</f>
        <v>#NAME?</v>
      </c>
      <c r="NU9" t="e">
        <f ca="1">-((NP9*NQ9)-(NQ9^2)-(NQ9^3))</f>
        <v>#NAME?</v>
      </c>
      <c r="NV9" t="b">
        <f ca="1">IFERROR(INDEX(CardanoMethod(NR9:NU9),1),FALSE)</f>
        <v>0</v>
      </c>
      <c r="NW9" t="b">
        <f ca="1">IFERROR(INDEX(CardanoMethod(NR9:NU9),2),FALSE)</f>
        <v>0</v>
      </c>
      <c r="NX9" t="b">
        <f ca="1">IFERROR(INDEX(CardanoMethod(NR9:NU9),3),FALSE)</f>
        <v>0</v>
      </c>
      <c r="NY9">
        <f ca="1">MAX(NV9:NX9)</f>
        <v>0</v>
      </c>
      <c r="NZ9" s="1" t="e">
        <f ca="1">IF($C9="","",psi_i(a_iVal2,x_iVal2,$A9,Kij_Val,BIPset,$AC$3,COUNTA(Chem2)))</f>
        <v>#NAME?</v>
      </c>
      <c r="OA9" s="1" t="e">
        <f ca="1">IF($C9="","",psi_i(a_iVal2,y_iVal16,$A9,Kij_Val,BIPset,$AC$3,COUNTA(Chem2)))</f>
        <v>#NAME?</v>
      </c>
      <c r="OB9" s="64" t="s">
        <v>205</v>
      </c>
      <c r="OC9" s="1" t="e">
        <f t="shared" ca="1" si="117"/>
        <v>#NAME?</v>
      </c>
      <c r="OD9" s="1" t="e">
        <f t="shared" ca="1" si="118"/>
        <v>#NAME?</v>
      </c>
      <c r="OE9" s="84" t="s">
        <v>206</v>
      </c>
      <c r="OF9" s="1" t="e">
        <f ca="1">IF($C9="",0,phi_i($NY$7,$NP$7,$NQ$7,O9,$OE$7,NZ9,$OB$7))</f>
        <v>#NAME?</v>
      </c>
      <c r="OG9" s="1" t="e">
        <f ca="1">IF($C9="",0,phi_i($NY$9,$NP$9,$NQ$9,O9,$OE$10,OA9,$OB$10))</f>
        <v>#NAME?</v>
      </c>
      <c r="OH9" s="1" t="e">
        <f t="shared" ca="1" si="119"/>
        <v>#NAME?</v>
      </c>
      <c r="OI9" s="1" t="e">
        <f t="shared" ca="1" si="120"/>
        <v>#NAME?</v>
      </c>
      <c r="OJ9" t="e">
        <f t="shared" ca="1" si="121"/>
        <v>#NAME?</v>
      </c>
      <c r="OK9" s="68" t="s">
        <v>207</v>
      </c>
      <c r="OL9" t="e">
        <f t="shared" ca="1" si="122"/>
        <v>#NAME?</v>
      </c>
      <c r="ON9" t="e">
        <f t="shared" ca="1" si="123"/>
        <v>#NAME?</v>
      </c>
      <c r="OO9" s="89" t="e">
        <f t="shared" ca="1" si="124"/>
        <v>#NAME?</v>
      </c>
      <c r="OP9" s="1" t="e">
        <f ca="1">INDEX(AB_Calc(a_iVal2, b_iVal2,y_iVal17,Kij_Val,COUNTA(Chem2),$AC$3,$C$5,$OM$7,BIPset),1)</f>
        <v>#NAME?</v>
      </c>
      <c r="OQ9" s="1" t="e">
        <f ca="1">INDEX(AB_Calc(a_iVal2, b_iVal2,y_iVal17,Kij_Val,COUNTA(Chem2),$AC$3,$C$5,$OM$7,BIPset),2)</f>
        <v>#NAME?</v>
      </c>
      <c r="OR9">
        <v>1</v>
      </c>
      <c r="OS9" t="e">
        <f ca="1">-(1-OQ9)</f>
        <v>#NAME?</v>
      </c>
      <c r="OT9" t="e">
        <f ca="1">(OP9-(2*OQ9)-(3*OQ9^2))</f>
        <v>#NAME?</v>
      </c>
      <c r="OU9" t="e">
        <f ca="1">-((OP9*OQ9)-(OQ9^2)-(OQ9^3))</f>
        <v>#NAME?</v>
      </c>
      <c r="OV9" t="b">
        <f ca="1">IFERROR(INDEX(CardanoMethod(OR9:OU9),1),FALSE)</f>
        <v>0</v>
      </c>
      <c r="OW9" t="b">
        <f ca="1">IFERROR(INDEX(CardanoMethod(OR9:OU9),2),FALSE)</f>
        <v>0</v>
      </c>
      <c r="OX9" t="b">
        <f ca="1">IFERROR(INDEX(CardanoMethod(OR9:OU9),3),FALSE)</f>
        <v>0</v>
      </c>
      <c r="OY9">
        <f ca="1">MAX(OV9:OX9)</f>
        <v>0</v>
      </c>
      <c r="OZ9" s="1" t="e">
        <f ca="1">IF($C9="","",psi_i(a_iVal2,x_iVal2,$A9,Kij_Val,BIPset,$AC$3,COUNTA(Chem2)))</f>
        <v>#NAME?</v>
      </c>
      <c r="PA9" s="1" t="e">
        <f ca="1">IF($C9="","",psi_i(a_iVal2,y_iVal17,$A9,Kij_Val,BIPset,$AC$3,COUNTA(Chem2)))</f>
        <v>#NAME?</v>
      </c>
      <c r="PB9" s="64" t="s">
        <v>205</v>
      </c>
      <c r="PC9" s="1" t="e">
        <f t="shared" ca="1" si="125"/>
        <v>#NAME?</v>
      </c>
      <c r="PD9" s="1" t="e">
        <f t="shared" ca="1" si="126"/>
        <v>#NAME?</v>
      </c>
      <c r="PE9" s="84" t="s">
        <v>206</v>
      </c>
      <c r="PF9" s="1" t="e">
        <f ca="1">IF($C9="",0,phi_i($OY$7,$OP$7,$OQ$7,O9,$PE$7,OZ9,$PB$7))</f>
        <v>#NAME?</v>
      </c>
      <c r="PG9" s="1" t="e">
        <f ca="1">IF($C9="",0,phi_i($OY$9,$OP$9,$OQ$9,O9,$PE$10,PA9,$PB$10))</f>
        <v>#NAME?</v>
      </c>
      <c r="PH9" s="1" t="e">
        <f t="shared" ca="1" si="127"/>
        <v>#NAME?</v>
      </c>
      <c r="PI9" s="1" t="e">
        <f t="shared" ca="1" si="128"/>
        <v>#NAME?</v>
      </c>
      <c r="PJ9" t="e">
        <f t="shared" ca="1" si="129"/>
        <v>#NAME?</v>
      </c>
      <c r="PK9" s="68" t="s">
        <v>207</v>
      </c>
      <c r="PL9" t="e">
        <f t="shared" ca="1" si="130"/>
        <v>#NAME?</v>
      </c>
      <c r="PN9" t="e">
        <f t="shared" ca="1" si="131"/>
        <v>#NAME?</v>
      </c>
      <c r="PO9" s="89" t="e">
        <f t="shared" ca="1" si="132"/>
        <v>#NAME?</v>
      </c>
      <c r="PP9" s="1" t="e">
        <f ca="1">INDEX(AB_Calc(a_iVal2, b_iVal2,y_iVal18,Kij_Val,COUNTA(Chem2),$AC$3,$C$5,$PM$7,BIPset),1)</f>
        <v>#NAME?</v>
      </c>
      <c r="PQ9" s="1" t="e">
        <f ca="1">INDEX(AB_Calc(a_iVal2, b_iVal2,y_iVal18,Kij_Val,COUNTA(Chem2),$AC$3,$C$5,$PM$7,BIPset),2)</f>
        <v>#NAME?</v>
      </c>
      <c r="PR9">
        <v>1</v>
      </c>
      <c r="PS9" t="e">
        <f ca="1">-(1-PQ9)</f>
        <v>#NAME?</v>
      </c>
      <c r="PT9" t="e">
        <f ca="1">(PP9-(2*PQ9)-(3*PQ9^2))</f>
        <v>#NAME?</v>
      </c>
      <c r="PU9" t="e">
        <f ca="1">-((PP9*PQ9)-(PQ9^2)-(PQ9^3))</f>
        <v>#NAME?</v>
      </c>
      <c r="PV9" t="b">
        <f ca="1">IFERROR(INDEX(CardanoMethod(PR9:PU9),1),FALSE)</f>
        <v>0</v>
      </c>
      <c r="PW9" t="b">
        <f ca="1">IFERROR(INDEX(CardanoMethod(PR9:PU9),2),FALSE)</f>
        <v>0</v>
      </c>
      <c r="PX9" t="b">
        <f ca="1">IFERROR(INDEX(CardanoMethod(PR9:PU9),3),FALSE)</f>
        <v>0</v>
      </c>
      <c r="PY9">
        <f ca="1">MAX(PV9:PX9)</f>
        <v>0</v>
      </c>
      <c r="PZ9" s="1" t="e">
        <f ca="1">IF($C9="","",psi_i(a_iVal2,x_iVal2,$A9,Kij_Val,BIPset,$AC$3,COUNTA(Chem2)))</f>
        <v>#NAME?</v>
      </c>
      <c r="QA9" s="1" t="e">
        <f ca="1">IF($C9="","",psi_i(a_iVal2,y_iVal18,$A9,Kij_Val,BIPset,$AC$3,COUNTA(Chem2)))</f>
        <v>#NAME?</v>
      </c>
      <c r="QB9" s="64" t="s">
        <v>205</v>
      </c>
      <c r="QC9" s="1" t="e">
        <f t="shared" ca="1" si="133"/>
        <v>#NAME?</v>
      </c>
      <c r="QD9" s="1" t="e">
        <f t="shared" ca="1" si="134"/>
        <v>#NAME?</v>
      </c>
      <c r="QE9" s="84" t="s">
        <v>206</v>
      </c>
      <c r="QF9" s="1" t="e">
        <f ca="1">IF($C9="",0,phi_i($PY$7,$PP$7,$PQ$7,O9,$QE$7,PZ9,$QB$7))</f>
        <v>#NAME?</v>
      </c>
      <c r="QG9" s="1" t="e">
        <f ca="1">IF($C9="",0,phi_i($PY$9,$PP$9,$PQ$9,O9,$QE$10,QA9,$QB$10))</f>
        <v>#NAME?</v>
      </c>
      <c r="QH9" s="1" t="e">
        <f t="shared" ca="1" si="135"/>
        <v>#NAME?</v>
      </c>
      <c r="QI9" s="1" t="e">
        <f t="shared" ca="1" si="136"/>
        <v>#NAME?</v>
      </c>
      <c r="QJ9" t="e">
        <f t="shared" ca="1" si="137"/>
        <v>#NAME?</v>
      </c>
      <c r="QK9" s="68" t="s">
        <v>207</v>
      </c>
      <c r="QL9" t="e">
        <f t="shared" ca="1" si="138"/>
        <v>#NAME?</v>
      </c>
      <c r="QN9" t="e">
        <f t="shared" ca="1" si="139"/>
        <v>#NAME?</v>
      </c>
      <c r="QO9" s="89" t="e">
        <f t="shared" ca="1" si="140"/>
        <v>#NAME?</v>
      </c>
    </row>
    <row r="10" spans="1:457">
      <c r="A10">
        <f t="shared" si="141"/>
        <v>4</v>
      </c>
      <c r="B10" s="18" t="str">
        <f>Wilson!B10</f>
        <v>MF Cyclohexane</v>
      </c>
      <c r="C10" s="109">
        <f>Wilson!C10</f>
        <v>0.2</v>
      </c>
      <c r="D10" s="109" t="str">
        <f>Wilson!D10</f>
        <v>-</v>
      </c>
      <c r="E10" s="109">
        <f>Wilson!E10</f>
        <v>553.58000000000004</v>
      </c>
      <c r="F10" s="109">
        <f>Wilson!F10</f>
        <v>4100</v>
      </c>
      <c r="G10" s="109">
        <f>Wilson!G10</f>
        <v>0.27400000000000002</v>
      </c>
      <c r="H10" s="109">
        <f>Wilson!H10</f>
        <v>0.21199999999999999</v>
      </c>
      <c r="I10" s="109">
        <f t="shared" si="1"/>
        <v>0.54192709274178974</v>
      </c>
      <c r="J10" s="113">
        <f t="shared" si="2"/>
        <v>0.2</v>
      </c>
      <c r="K10" s="113"/>
      <c r="L10" s="13" t="e">
        <f t="shared" ca="1" si="3"/>
        <v>#NAME?</v>
      </c>
      <c r="M10" s="1" t="e">
        <f t="shared" ca="1" si="4"/>
        <v>#NAME?</v>
      </c>
      <c r="N10" s="1" t="e">
        <f ca="1">a_i($E10,$F10)*alpha($H10,$I10)</f>
        <v>#NAME?</v>
      </c>
      <c r="O10" s="1" t="e">
        <f t="shared" ca="1" si="0"/>
        <v>#NAME?</v>
      </c>
      <c r="P10" s="1"/>
      <c r="Q10" s="1"/>
      <c r="Z10" s="1" t="e">
        <f ca="1">IF(C10="","",psi_i(a_iVal2,x_iVal2,A10,Kij_Val,BIPset,$AC$3,COUNTA(Chem2)))</f>
        <v>#NAME?</v>
      </c>
      <c r="AA10" s="1" t="e">
        <f ca="1">IF(C10="","",psi_i(a_iVal2,y_iVal2,A10,Kij_Val,BIPset,$AC$3,COUNTA(Chem2)))</f>
        <v>#NAME?</v>
      </c>
      <c r="AB10" s="1" t="e">
        <f ca="1">psiSUM(a_iVal2,y_iVal2,Kij_Val,BIPset,$AE$3,COUNTA(Chem2))</f>
        <v>#NAME?</v>
      </c>
      <c r="AC10" s="1" t="e">
        <f t="shared" ca="1" si="5"/>
        <v>#NAME?</v>
      </c>
      <c r="AD10" s="1" t="e">
        <f t="shared" ca="1" si="6"/>
        <v>#NAME?</v>
      </c>
      <c r="AE10" s="1" t="e">
        <f ca="1">SUM(AD7:AD16)</f>
        <v>#NAME?</v>
      </c>
      <c r="AF10" s="1" t="e">
        <f ca="1">IF(C10="",0,phi_i($Y$7,$P$7,$Q$7,O10,$AE$7,Z10,$AB$7))</f>
        <v>#NAME?</v>
      </c>
      <c r="AG10" s="1" t="e">
        <f ca="1">IF(C10="",0,phi_i($Y$9,$P$9,$Q$9,O10,$AE$10,AA10,$AB$10))</f>
        <v>#NAME?</v>
      </c>
      <c r="AH10" s="1" t="e">
        <f t="shared" ca="1" si="7"/>
        <v>#NAME?</v>
      </c>
      <c r="AI10" s="1" t="e">
        <f t="shared" ca="1" si="8"/>
        <v>#NAME?</v>
      </c>
      <c r="AJ10" t="e">
        <f t="shared" ca="1" si="9"/>
        <v>#NAME?</v>
      </c>
      <c r="AK10" t="e">
        <f ca="1">IF(AK7&gt;0.000000001,"Keep Iterating","Stop Iterating")</f>
        <v>#NAME?</v>
      </c>
      <c r="AL10" t="e">
        <f t="shared" ca="1" si="10"/>
        <v>#NAME?</v>
      </c>
      <c r="AN10" t="e">
        <f t="shared" ca="1" si="11"/>
        <v>#NAME?</v>
      </c>
      <c r="AO10" s="89" t="e">
        <f t="shared" ca="1" si="12"/>
        <v>#NAME?</v>
      </c>
      <c r="AP10" s="1"/>
      <c r="AQ10" s="1"/>
      <c r="AZ10" s="1" t="e">
        <f ca="1">IF($C10="","",psi_i(a_iVal2,x_iVal2,$A10,Kij_Val,BIPset,$AC$3,COUNTA(Chem2)))</f>
        <v>#NAME?</v>
      </c>
      <c r="BA10" s="1" t="e">
        <f ca="1">IF($C10="","",psi_i(a_iVal2,y_iVal3,$A10,Kij_Val,BIPset,$AC$3,COUNTA(Chem2)))</f>
        <v>#NAME?</v>
      </c>
      <c r="BB10" s="1" t="e">
        <f ca="1">psiSUM(a_iVal2,y_iVal3,Kij_Val,BIPset,$AE$3,COUNTA(Chem2))</f>
        <v>#NAME?</v>
      </c>
      <c r="BC10" s="1" t="e">
        <f t="shared" ca="1" si="13"/>
        <v>#NAME?</v>
      </c>
      <c r="BD10" s="1" t="e">
        <f t="shared" ca="1" si="14"/>
        <v>#NAME?</v>
      </c>
      <c r="BE10" s="1" t="e">
        <f ca="1">SUM(BD7:BD16)</f>
        <v>#NAME?</v>
      </c>
      <c r="BF10" s="1" t="e">
        <f ca="1">IF($C10="",0,phi_i($AY$7,$AP$7,$AQ$7,O10,$BE$7,AZ10,$BB$7))</f>
        <v>#NAME?</v>
      </c>
      <c r="BG10" s="1" t="e">
        <f ca="1">IF(AC10="",0,phi_i($AY$9,$AP$9,$AQ$9,O10,$BE$10,BA10,$BB$10))</f>
        <v>#NAME?</v>
      </c>
      <c r="BH10" s="1" t="e">
        <f t="shared" ca="1" si="15"/>
        <v>#NAME?</v>
      </c>
      <c r="BI10" s="1" t="e">
        <f t="shared" ca="1" si="16"/>
        <v>#NAME?</v>
      </c>
      <c r="BJ10" t="e">
        <f t="shared" ca="1" si="17"/>
        <v>#NAME?</v>
      </c>
      <c r="BK10" t="e">
        <f ca="1">IF(BK7&gt;0.000000001,"Keep Iterating","Stop Iterating")</f>
        <v>#NAME?</v>
      </c>
      <c r="BL10" t="e">
        <f t="shared" ca="1" si="18"/>
        <v>#NAME?</v>
      </c>
      <c r="BN10" t="e">
        <f t="shared" ca="1" si="19"/>
        <v>#NAME?</v>
      </c>
      <c r="BO10" s="89" t="e">
        <f t="shared" ca="1" si="20"/>
        <v>#NAME?</v>
      </c>
      <c r="BP10" s="1"/>
      <c r="BQ10" s="1"/>
      <c r="BZ10" s="1" t="e">
        <f ca="1">IF($C10="","",psi_i(a_iVal2,x_iVal2,$A10,Kij_Val,BIPset,$AC$3,COUNTA(Chem2)))</f>
        <v>#NAME?</v>
      </c>
      <c r="CA10" s="1" t="e">
        <f ca="1">IF($C10="","",psi_i(a_iVal2,y_iVal4,$A10,Kij_Val,BIPset,$AC$3,COUNTA(Chem2)))</f>
        <v>#NAME?</v>
      </c>
      <c r="CB10" s="1" t="e">
        <f ca="1">psiSUM(a_iVal2,y_iVal4,Kij_Val,BIPset,$AE$3,COUNTA(Chem2))</f>
        <v>#NAME?</v>
      </c>
      <c r="CC10" s="1" t="e">
        <f t="shared" ca="1" si="21"/>
        <v>#NAME?</v>
      </c>
      <c r="CD10" s="1" t="e">
        <f t="shared" ca="1" si="22"/>
        <v>#NAME?</v>
      </c>
      <c r="CE10" s="1" t="e">
        <f ca="1">SUM(CD7:CD16)</f>
        <v>#NAME?</v>
      </c>
      <c r="CF10" s="1" t="e">
        <f ca="1">IF($C10="",0,phi_i($BY$7,$BP$7,$BQ$7,O10,$CE$7,BZ10,$CB$7))</f>
        <v>#NAME?</v>
      </c>
      <c r="CG10" s="1" t="e">
        <f ca="1">IF($C10="",0,phi_i($BY$9,$BP$9,$BQ$9,O10,$CE$10,$CA$7,$CB$10))</f>
        <v>#NAME?</v>
      </c>
      <c r="CH10" s="1" t="e">
        <f t="shared" ca="1" si="23"/>
        <v>#NAME?</v>
      </c>
      <c r="CI10" s="1" t="e">
        <f t="shared" ca="1" si="24"/>
        <v>#NAME?</v>
      </c>
      <c r="CJ10" t="e">
        <f t="shared" ca="1" si="25"/>
        <v>#NAME?</v>
      </c>
      <c r="CK10" t="e">
        <f ca="1">IF(CK7&gt;0.000000001,"Keep Iterating","Stop Iterating")</f>
        <v>#NAME?</v>
      </c>
      <c r="CL10" t="e">
        <f t="shared" ca="1" si="26"/>
        <v>#NAME?</v>
      </c>
      <c r="CN10" t="e">
        <f t="shared" ca="1" si="27"/>
        <v>#NAME?</v>
      </c>
      <c r="CO10" s="89" t="e">
        <f t="shared" ca="1" si="28"/>
        <v>#NAME?</v>
      </c>
      <c r="CP10" s="1"/>
      <c r="CQ10" s="1"/>
      <c r="CZ10" s="1" t="e">
        <f ca="1">IF($C10="","",psi_i(a_iVal2,x_iVal2,$A10,Kij_Val,BIPset,$AC$3,COUNTA(Chem2)))</f>
        <v>#NAME?</v>
      </c>
      <c r="DA10" s="1" t="e">
        <f ca="1">IF($C10="","",psi_i(a_iVal2,y_iVal5,$A10,Kij_Val,BIPset,$AC$3,COUNTA(Chem2)))</f>
        <v>#NAME?</v>
      </c>
      <c r="DB10" s="1" t="e">
        <f ca="1">psiSUM(a_iVal2,y_iVal5,Kij_Val,BIPset,$AE$3,COUNTA(Chem2))</f>
        <v>#NAME?</v>
      </c>
      <c r="DC10" s="1" t="e">
        <f t="shared" ca="1" si="29"/>
        <v>#NAME?</v>
      </c>
      <c r="DD10" s="1" t="e">
        <f t="shared" ca="1" si="30"/>
        <v>#NAME?</v>
      </c>
      <c r="DE10" s="1" t="e">
        <f ca="1">SUM(DD7:DD16)</f>
        <v>#NAME?</v>
      </c>
      <c r="DF10" s="1" t="e">
        <f ca="1">IF($C10="",0,phi_i($CY$7,$CP$7,$CQ$7,O10,$DE$7,CZ10,$DB$7))</f>
        <v>#NAME?</v>
      </c>
      <c r="DG10" s="1" t="e">
        <f ca="1">IF($C10="",0,phi_i($CY$9,$CP$9,$CQ$9,O10,$DE$10,DA10,$DB$10))</f>
        <v>#NAME?</v>
      </c>
      <c r="DH10" s="1" t="e">
        <f t="shared" ca="1" si="31"/>
        <v>#NAME?</v>
      </c>
      <c r="DI10" s="1" t="e">
        <f t="shared" ca="1" si="32"/>
        <v>#NAME?</v>
      </c>
      <c r="DJ10" t="e">
        <f t="shared" ca="1" si="33"/>
        <v>#NAME?</v>
      </c>
      <c r="DK10" t="e">
        <f ca="1">IF(DK7&gt;0.000000001,"Keep Iterating","Stop Iterating")</f>
        <v>#NAME?</v>
      </c>
      <c r="DL10" t="e">
        <f t="shared" ca="1" si="34"/>
        <v>#NAME?</v>
      </c>
      <c r="DN10" t="e">
        <f t="shared" ca="1" si="35"/>
        <v>#NAME?</v>
      </c>
      <c r="DO10" s="89" t="e">
        <f t="shared" ca="1" si="36"/>
        <v>#NAME?</v>
      </c>
      <c r="DP10" s="1"/>
      <c r="DQ10" s="1"/>
      <c r="DZ10" s="1" t="e">
        <f ca="1">IF($C10="","",psi_i(a_iVal2,x_iVal2,$A10,Kij_Val,BIPset,$AC$3,COUNTA(Chem2)))</f>
        <v>#NAME?</v>
      </c>
      <c r="EA10" s="1" t="e">
        <f ca="1">IF($C10="","",psi_i(a_iVal2,y_iVal6,$A10,Kij_Val,BIPset,$AC$3,COUNTA(Chem2)))</f>
        <v>#NAME?</v>
      </c>
      <c r="EB10" s="1" t="e">
        <f ca="1">psiSUM(a_iVal2,y_iVal6,Kij_Val,BIPset,$AE$3,COUNTA(Chem2))</f>
        <v>#NAME?</v>
      </c>
      <c r="EC10" s="1" t="e">
        <f t="shared" ca="1" si="37"/>
        <v>#NAME?</v>
      </c>
      <c r="ED10" s="1" t="e">
        <f t="shared" ca="1" si="38"/>
        <v>#NAME?</v>
      </c>
      <c r="EE10" s="1" t="e">
        <f ca="1">SUM(ED7:ED16)</f>
        <v>#NAME?</v>
      </c>
      <c r="EF10" s="1" t="e">
        <f ca="1">IF($C10="",0,phi_i($DY$7,$DP$7,$DQ$7,O10,$EE$7,DZ10,$EB$7))</f>
        <v>#NAME?</v>
      </c>
      <c r="EG10" s="1" t="e">
        <f ca="1">IF($C10="",0,phi_i($DY$9,$DP$9,$DQ$9,O10,$EE$10,EA10,$EB$10))</f>
        <v>#NAME?</v>
      </c>
      <c r="EH10" s="1" t="e">
        <f t="shared" ca="1" si="39"/>
        <v>#NAME?</v>
      </c>
      <c r="EI10" s="1" t="e">
        <f t="shared" ca="1" si="40"/>
        <v>#NAME?</v>
      </c>
      <c r="EJ10" t="e">
        <f t="shared" ca="1" si="41"/>
        <v>#NAME?</v>
      </c>
      <c r="EK10" t="e">
        <f ca="1">IF(EK7&gt;0.000000001,"Keep Iterating","Stop Iterating")</f>
        <v>#NAME?</v>
      </c>
      <c r="EL10" t="e">
        <f t="shared" ca="1" si="42"/>
        <v>#NAME?</v>
      </c>
      <c r="EN10" t="e">
        <f t="shared" ca="1" si="43"/>
        <v>#NAME?</v>
      </c>
      <c r="EO10" s="89" t="e">
        <f t="shared" ca="1" si="44"/>
        <v>#NAME?</v>
      </c>
      <c r="EP10" s="1"/>
      <c r="EQ10" s="1"/>
      <c r="EZ10" s="1" t="e">
        <f ca="1">IF($C10="","",psi_i(a_iVal2,x_iVal2,$A10,Kij_Val,BIPset,$AC$3,COUNTA(Chem2)))</f>
        <v>#NAME?</v>
      </c>
      <c r="FA10" s="1" t="e">
        <f ca="1">IF($C10="","",psi_i(a_iVal2,y_iVal7,$A10,Kij_Val,BIPset,$AC$3,COUNTA(Chem2)))</f>
        <v>#NAME?</v>
      </c>
      <c r="FB10" s="1" t="e">
        <f ca="1">psiSUM(a_iVal2,y_iVal7,Kij_Val,BIPset,$AE$3,COUNTA(Chem2))</f>
        <v>#NAME?</v>
      </c>
      <c r="FC10" s="1" t="e">
        <f t="shared" ca="1" si="45"/>
        <v>#NAME?</v>
      </c>
      <c r="FD10" s="1" t="e">
        <f t="shared" ca="1" si="46"/>
        <v>#NAME?</v>
      </c>
      <c r="FE10" s="1" t="e">
        <f ca="1">SUM(FD7:FD16)</f>
        <v>#NAME?</v>
      </c>
      <c r="FF10" s="1" t="e">
        <f ca="1">IF($C10="",0,phi_i($EY$7,$EP$7,$EQ$7,O10,$FE$7,EZ10,$FB$7))</f>
        <v>#NAME?</v>
      </c>
      <c r="FG10" s="1" t="e">
        <f ca="1">IF($C10="",0,phi_i($EY$9,$EP$9,$EQ$9,O10,$FE$10,FA10,$FB$10))</f>
        <v>#NAME?</v>
      </c>
      <c r="FH10" s="1" t="e">
        <f t="shared" ca="1" si="47"/>
        <v>#NAME?</v>
      </c>
      <c r="FI10" s="1" t="e">
        <f t="shared" ca="1" si="48"/>
        <v>#NAME?</v>
      </c>
      <c r="FJ10" t="e">
        <f t="shared" ca="1" si="49"/>
        <v>#NAME?</v>
      </c>
      <c r="FK10" t="e">
        <f ca="1">IF(FK7&gt;0.000000001,"Keep Iterating","Stop Iterating")</f>
        <v>#NAME?</v>
      </c>
      <c r="FL10" t="e">
        <f t="shared" ca="1" si="50"/>
        <v>#NAME?</v>
      </c>
      <c r="FN10" t="e">
        <f t="shared" ca="1" si="51"/>
        <v>#NAME?</v>
      </c>
      <c r="FO10" s="89" t="e">
        <f t="shared" ca="1" si="52"/>
        <v>#NAME?</v>
      </c>
      <c r="FP10" s="1"/>
      <c r="FQ10" s="1"/>
      <c r="FZ10" s="1" t="e">
        <f ca="1">IF($C10="","",psi_i(a_iVal2,x_iVal2,$A10,Kij_Val,BIPset,$AC$3,COUNTA(Chem2)))</f>
        <v>#NAME?</v>
      </c>
      <c r="GA10" s="1" t="e">
        <f ca="1">IF($C10="","",psi_i(a_iVal2,y_iVal8,$A10,Kij_Val,BIPset,$AC$3,COUNTA(Chem2)))</f>
        <v>#NAME?</v>
      </c>
      <c r="GB10" s="1" t="e">
        <f ca="1">psiSUM(a_iVal2,y_iVal8,Kij_Val,BIPset,$AE$3,COUNTA(Chem2))</f>
        <v>#NAME?</v>
      </c>
      <c r="GC10" s="1" t="e">
        <f t="shared" ca="1" si="53"/>
        <v>#NAME?</v>
      </c>
      <c r="GD10" s="1" t="e">
        <f t="shared" ca="1" si="54"/>
        <v>#NAME?</v>
      </c>
      <c r="GE10" s="1" t="e">
        <f ca="1">SUM(GD7:GD16)</f>
        <v>#NAME?</v>
      </c>
      <c r="GF10" s="1" t="e">
        <f ca="1">IF($C10="",0,phi_i($FY$7,$FP$7,$FQ$7,O10,$GE$7,FZ10,$GB$7))</f>
        <v>#NAME?</v>
      </c>
      <c r="GG10" s="1" t="e">
        <f ca="1">IF($C10="",0,phi_i($FY$9,$FP$9,$FQ$9,O10,$GE$10,GA10,$GB$10))</f>
        <v>#NAME?</v>
      </c>
      <c r="GH10" s="1" t="e">
        <f t="shared" ca="1" si="55"/>
        <v>#NAME?</v>
      </c>
      <c r="GI10" s="1" t="e">
        <f t="shared" ca="1" si="56"/>
        <v>#NAME?</v>
      </c>
      <c r="GJ10" t="e">
        <f t="shared" ca="1" si="57"/>
        <v>#NAME?</v>
      </c>
      <c r="GK10" t="e">
        <f ca="1">IF(GK7&gt;0.000000001,"Keep Iterating","Stop Iterating")</f>
        <v>#NAME?</v>
      </c>
      <c r="GL10" t="e">
        <f t="shared" ca="1" si="58"/>
        <v>#NAME?</v>
      </c>
      <c r="GN10" t="e">
        <f t="shared" ca="1" si="59"/>
        <v>#NAME?</v>
      </c>
      <c r="GO10" s="89" t="e">
        <f t="shared" ca="1" si="60"/>
        <v>#NAME?</v>
      </c>
      <c r="GP10" s="1"/>
      <c r="GQ10" s="1"/>
      <c r="GZ10" s="1" t="e">
        <f ca="1">IF($C10="","",psi_i(a_iVal2,x_iVal2,$A10,Kij_Val,BIPset,$AC$3,COUNTA(Chem2)))</f>
        <v>#NAME?</v>
      </c>
      <c r="HA10" s="1" t="e">
        <f ca="1">IF($C10="","",psi_i(a_iVal2,y_iVal9,$A10,Kij_Val,BIPset,$AC$3,COUNTA(Chem2)))</f>
        <v>#NAME?</v>
      </c>
      <c r="HB10" s="1" t="e">
        <f ca="1">psiSUM(a_iVal2,y_iVal9,Kij_Val,BIPset,$AE$3,COUNTA(Chem2))</f>
        <v>#NAME?</v>
      </c>
      <c r="HC10" s="1" t="e">
        <f t="shared" ca="1" si="61"/>
        <v>#NAME?</v>
      </c>
      <c r="HD10" s="1" t="e">
        <f t="shared" ca="1" si="62"/>
        <v>#NAME?</v>
      </c>
      <c r="HE10" s="1" t="e">
        <f ca="1">SUM(HD7:HD16)</f>
        <v>#NAME?</v>
      </c>
      <c r="HF10" s="1" t="e">
        <f ca="1">IF($C10="",0,phi_i($GY$7,$GP$7,$GQ$7,O10,$HE$7,GZ10,$HB$7))</f>
        <v>#NAME?</v>
      </c>
      <c r="HG10" s="1" t="e">
        <f ca="1">IF($C10="",0,phi_i($GY$9,$GP$9,$GQ$9,O10,$HE$10,HA10,$HB$10))</f>
        <v>#NAME?</v>
      </c>
      <c r="HH10" s="1" t="e">
        <f t="shared" ca="1" si="63"/>
        <v>#NAME?</v>
      </c>
      <c r="HI10" s="1" t="e">
        <f t="shared" ca="1" si="64"/>
        <v>#NAME?</v>
      </c>
      <c r="HJ10" t="e">
        <f t="shared" ca="1" si="65"/>
        <v>#NAME?</v>
      </c>
      <c r="HK10" t="e">
        <f ca="1">IF(HK7&gt;0.000000001,"Keep Iterating","Stop Iterating")</f>
        <v>#NAME?</v>
      </c>
      <c r="HL10" t="e">
        <f t="shared" ca="1" si="66"/>
        <v>#NAME?</v>
      </c>
      <c r="HN10" t="e">
        <f t="shared" ca="1" si="67"/>
        <v>#NAME?</v>
      </c>
      <c r="HO10" s="89" t="e">
        <f t="shared" ca="1" si="68"/>
        <v>#NAME?</v>
      </c>
      <c r="HP10" s="1"/>
      <c r="HQ10" s="1"/>
      <c r="HZ10" s="1" t="e">
        <f ca="1">IF($C10="","",psi_i(a_iVal2,x_iVal2,$A10,Kij_Val,BIPset,$AC$3,COUNTA(Chem2)))</f>
        <v>#NAME?</v>
      </c>
      <c r="IA10" s="1" t="e">
        <f ca="1">IF($C10="","",psi_i(a_iVal2,y_iVal10,$A10,Kij_Val,BIPset,$AC$3,COUNTA(Chem2)))</f>
        <v>#NAME?</v>
      </c>
      <c r="IB10" s="1" t="e">
        <f ca="1">psiSUM(a_iVal2,y_iVal10,Kij_Val,BIPset,$AE$3,COUNTA(Chem2))</f>
        <v>#NAME?</v>
      </c>
      <c r="IC10" s="1" t="e">
        <f t="shared" ca="1" si="69"/>
        <v>#NAME?</v>
      </c>
      <c r="ID10" s="1" t="e">
        <f t="shared" ca="1" si="70"/>
        <v>#NAME?</v>
      </c>
      <c r="IE10" s="1" t="e">
        <f ca="1">SUM(ID7:ID16)</f>
        <v>#NAME?</v>
      </c>
      <c r="IF10" s="1" t="e">
        <f ca="1">IF($C10="",0,phi_i($HY$7,$HP$7,$HQ$7,O10,$IE$7,HZ10,$IB$7))</f>
        <v>#NAME?</v>
      </c>
      <c r="IG10" s="1" t="e">
        <f ca="1">IF($C10="",0,phi_i($HY$9,$HP$9,$HQ$9,O10,$IE$10,IA10,$IB$10))</f>
        <v>#NAME?</v>
      </c>
      <c r="IH10" s="1" t="e">
        <f t="shared" ca="1" si="71"/>
        <v>#NAME?</v>
      </c>
      <c r="II10" s="1" t="e">
        <f t="shared" ca="1" si="72"/>
        <v>#NAME?</v>
      </c>
      <c r="IJ10" t="e">
        <f t="shared" ca="1" si="73"/>
        <v>#NAME?</v>
      </c>
      <c r="IK10" t="e">
        <f ca="1">IF(IK7&gt;0.000000001,"Keep Iterating","Stop Iterating")</f>
        <v>#NAME?</v>
      </c>
      <c r="IL10" t="e">
        <f t="shared" ca="1" si="74"/>
        <v>#NAME?</v>
      </c>
      <c r="IN10" t="e">
        <f t="shared" ca="1" si="75"/>
        <v>#NAME?</v>
      </c>
      <c r="IO10" s="89" t="e">
        <f t="shared" ca="1" si="76"/>
        <v>#NAME?</v>
      </c>
      <c r="IP10" s="1"/>
      <c r="IQ10" s="1"/>
      <c r="IZ10" s="1" t="e">
        <f ca="1">IF($C10="","",psi_i(a_iVal2,x_iVal2,$A10,Kij_Val,BIPset,$AC$3,COUNTA(Chem2)))</f>
        <v>#NAME?</v>
      </c>
      <c r="JA10" s="1" t="e">
        <f ca="1">IF($C10="","",psi_i(a_iVal2,y_iVal10,$A10,Kij_Val,BIPset,$AC$3,COUNTA(Chem2)))</f>
        <v>#NAME?</v>
      </c>
      <c r="JB10" s="1" t="e">
        <f ca="1">psiSUM(a_iVal2,y_iVal11,Kij_Val,BIPset,$AE$3,COUNTA(Chem2))</f>
        <v>#NAME?</v>
      </c>
      <c r="JC10" s="1" t="e">
        <f t="shared" ca="1" si="77"/>
        <v>#NAME?</v>
      </c>
      <c r="JD10" s="1" t="e">
        <f t="shared" ca="1" si="78"/>
        <v>#NAME?</v>
      </c>
      <c r="JE10" s="1" t="e">
        <f ca="1">SUM(JD7:JD16)</f>
        <v>#NAME?</v>
      </c>
      <c r="JF10" s="1" t="e">
        <f ca="1">IF($C10="",0,phi_i($IY$7,$IP$7,$IQ$7,O10,$JE$7,IZ10,$JB$7))</f>
        <v>#NAME?</v>
      </c>
      <c r="JG10" s="1" t="e">
        <f ca="1">IF($C10="",0,phi_i($IY$9,$IP$9,$IQ$9,O10,$JE$10,JA10,$JB$10))</f>
        <v>#NAME?</v>
      </c>
      <c r="JH10" s="1" t="e">
        <f t="shared" ca="1" si="79"/>
        <v>#NAME?</v>
      </c>
      <c r="JI10" s="1" t="e">
        <f t="shared" ca="1" si="80"/>
        <v>#NAME?</v>
      </c>
      <c r="JJ10" t="e">
        <f t="shared" ca="1" si="81"/>
        <v>#NAME?</v>
      </c>
      <c r="JK10" t="e">
        <f ca="1">IF(JK7&gt;0.000000001,"Keep Iterating","Stop Iterating")</f>
        <v>#NAME?</v>
      </c>
      <c r="JL10" t="e">
        <f t="shared" ca="1" si="82"/>
        <v>#NAME?</v>
      </c>
      <c r="JN10" t="e">
        <f t="shared" ca="1" si="83"/>
        <v>#NAME?</v>
      </c>
      <c r="JO10" s="89" t="e">
        <f t="shared" ca="1" si="84"/>
        <v>#NAME?</v>
      </c>
      <c r="JP10" s="1"/>
      <c r="JQ10" s="1"/>
      <c r="JZ10" s="1" t="e">
        <f ca="1">IF($C10="","",psi_i(a_iVal2,x_iVal2,$A10,Kij_Val,BIPset,$AC$3,COUNTA(Chem2)))</f>
        <v>#NAME?</v>
      </c>
      <c r="KA10" s="1" t="e">
        <f ca="1">IF($C10="","",psi_i(a_iVal2,y_iVal12,$A10,Kij_Val,BIPset,$AC$3,COUNTA(Chem2)))</f>
        <v>#NAME?</v>
      </c>
      <c r="KB10" s="1" t="e">
        <f ca="1">psiSUM(a_iVal2,y_iVal12,Kij_Val,BIPset,$AE$3,COUNTA(Chem2))</f>
        <v>#NAME?</v>
      </c>
      <c r="KC10" s="1" t="e">
        <f t="shared" ca="1" si="85"/>
        <v>#NAME?</v>
      </c>
      <c r="KD10" s="1" t="e">
        <f t="shared" ca="1" si="86"/>
        <v>#NAME?</v>
      </c>
      <c r="KE10" s="1" t="e">
        <f ca="1">SUM(KD7:KD16)</f>
        <v>#NAME?</v>
      </c>
      <c r="KF10" s="1" t="e">
        <f ca="1">IF($C10="",0,phi_i($JY$7,$JP$7,$JQ$7,O10,$KE$7,JZ10,$KB$7))</f>
        <v>#NAME?</v>
      </c>
      <c r="KG10" s="1" t="e">
        <f ca="1">IF($C10="",0,phi_i($JY$9,$JP$9,$JQ$9,O10,$KE$10,KA10,$KB$10))</f>
        <v>#NAME?</v>
      </c>
      <c r="KH10" s="1" t="e">
        <f t="shared" ca="1" si="87"/>
        <v>#NAME?</v>
      </c>
      <c r="KI10" s="1" t="e">
        <f t="shared" ca="1" si="88"/>
        <v>#NAME?</v>
      </c>
      <c r="KJ10" t="e">
        <f t="shared" ca="1" si="89"/>
        <v>#NAME?</v>
      </c>
      <c r="KK10" t="e">
        <f ca="1">IF(KK7&gt;0.000000001,"Keep Iterating","Stop Iterating")</f>
        <v>#NAME?</v>
      </c>
      <c r="KL10" t="e">
        <f t="shared" ca="1" si="90"/>
        <v>#NAME?</v>
      </c>
      <c r="KN10" t="e">
        <f t="shared" ca="1" si="91"/>
        <v>#NAME?</v>
      </c>
      <c r="KO10" s="89" t="e">
        <f t="shared" ca="1" si="92"/>
        <v>#NAME?</v>
      </c>
      <c r="KP10" s="1"/>
      <c r="KQ10" s="1"/>
      <c r="KZ10" s="1" t="e">
        <f ca="1">IF($C10="","",psi_i(a_iVal2,x_iVal2,$A10,Kij_Val,BIPset,$AC$3,COUNTA(Chem2)))</f>
        <v>#NAME?</v>
      </c>
      <c r="LA10" s="1" t="e">
        <f ca="1">IF($C10="","",psi_i(a_iVal2,y_iVal13,$A10,Kij_Val,BIPset,$AC$3,COUNTA(Chem2)))</f>
        <v>#NAME?</v>
      </c>
      <c r="LB10" s="1" t="e">
        <f ca="1">psiSUM(a_iVal2,y_iVal13,Kij_Val,BIPset,$AE$3,COUNTA(Chem2))</f>
        <v>#NAME?</v>
      </c>
      <c r="LC10" s="1" t="e">
        <f t="shared" ca="1" si="93"/>
        <v>#NAME?</v>
      </c>
      <c r="LD10" s="1" t="e">
        <f t="shared" ca="1" si="94"/>
        <v>#NAME?</v>
      </c>
      <c r="LE10" s="1" t="e">
        <f ca="1">SUM(LD7:LD16)</f>
        <v>#NAME?</v>
      </c>
      <c r="LF10" s="1" t="e">
        <f ca="1">IF($C10="",0,phi_i($KY$7,$KP$7,$KQ$7,O10,$LE$7,KZ10,$LB$7))</f>
        <v>#NAME?</v>
      </c>
      <c r="LG10" s="1" t="e">
        <f ca="1">IF($C10="",0,phi_i($KY$9,$KP$9,$KQ$9,O10,$LE$10,LA10,$LB$10))</f>
        <v>#NAME?</v>
      </c>
      <c r="LH10" s="1" t="e">
        <f t="shared" ca="1" si="95"/>
        <v>#NAME?</v>
      </c>
      <c r="LI10" s="1" t="e">
        <f t="shared" ca="1" si="96"/>
        <v>#NAME?</v>
      </c>
      <c r="LJ10" t="e">
        <f t="shared" ca="1" si="97"/>
        <v>#NAME?</v>
      </c>
      <c r="LK10" t="e">
        <f ca="1">IF(LK7&gt;0.000000001,"Keep Iterating","Stop Iterating")</f>
        <v>#NAME?</v>
      </c>
      <c r="LL10" t="e">
        <f t="shared" ca="1" si="98"/>
        <v>#NAME?</v>
      </c>
      <c r="LN10" t="e">
        <f t="shared" ca="1" si="99"/>
        <v>#NAME?</v>
      </c>
      <c r="LO10" s="89" t="e">
        <f t="shared" ca="1" si="100"/>
        <v>#NAME?</v>
      </c>
      <c r="LP10" s="1"/>
      <c r="LQ10" s="1"/>
      <c r="LZ10" s="1" t="e">
        <f ca="1">IF($C10="","",psi_i(a_iVal2,x_iVal2,$A10,Kij_Val,BIPset,$AC$3,COUNTA(Chem2)))</f>
        <v>#NAME?</v>
      </c>
      <c r="MA10" s="1" t="e">
        <f ca="1">IF($C10="","",psi_i(a_iVal2,y_iVal14,$A10,Kij_Val,BIPset,$AC$3,COUNTA(Chem2)))</f>
        <v>#NAME?</v>
      </c>
      <c r="MB10" s="1" t="e">
        <f ca="1">psiSUM(a_iVal2,y_iVal14,Kij_Val,BIPset,$AE$3,COUNTA(Chem2))</f>
        <v>#NAME?</v>
      </c>
      <c r="MC10" s="1" t="e">
        <f t="shared" ca="1" si="101"/>
        <v>#NAME?</v>
      </c>
      <c r="MD10" s="1" t="e">
        <f t="shared" ca="1" si="102"/>
        <v>#NAME?</v>
      </c>
      <c r="ME10" s="1" t="e">
        <f ca="1">SUM(MD7:MD16)</f>
        <v>#NAME?</v>
      </c>
      <c r="MF10" s="1" t="e">
        <f ca="1">IF($C10="",0,phi_i($LY$7,$LP$7,$LQ$7,O10,$ME$7,LZ10,$MB$7))</f>
        <v>#NAME?</v>
      </c>
      <c r="MG10" s="1" t="e">
        <f ca="1">IF($C10="",0,phi_i($LY$9,$LP$9,$LQ$9,O10,$ME$10,MA10,$MB$10))</f>
        <v>#NAME?</v>
      </c>
      <c r="MH10" s="1" t="e">
        <f t="shared" ca="1" si="103"/>
        <v>#NAME?</v>
      </c>
      <c r="MI10" s="1" t="e">
        <f t="shared" ca="1" si="104"/>
        <v>#NAME?</v>
      </c>
      <c r="MJ10" t="e">
        <f t="shared" ca="1" si="105"/>
        <v>#NAME?</v>
      </c>
      <c r="MK10" t="e">
        <f ca="1">IF(MK7&gt;0.000000001,"Keep Iterating","Stop Iterating")</f>
        <v>#NAME?</v>
      </c>
      <c r="ML10" t="e">
        <f t="shared" ca="1" si="106"/>
        <v>#NAME?</v>
      </c>
      <c r="MN10" t="e">
        <f t="shared" ca="1" si="107"/>
        <v>#NAME?</v>
      </c>
      <c r="MO10" s="89" t="e">
        <f t="shared" ca="1" si="108"/>
        <v>#NAME?</v>
      </c>
      <c r="MP10" s="1"/>
      <c r="MQ10" s="1"/>
      <c r="MZ10" s="1" t="e">
        <f ca="1">IF($C10="","",psi_i(a_iVal2,x_iVal2,$A10,Kij_Val,BIPset,$AC$3,COUNTA(Chem2)))</f>
        <v>#NAME?</v>
      </c>
      <c r="NA10" s="1" t="e">
        <f ca="1">IF($C10="","",psi_i(a_iVal2,y_iVal15,$A10,Kij_Val,BIPset,$AC$3,COUNTA(Chem2)))</f>
        <v>#NAME?</v>
      </c>
      <c r="NB10" s="1" t="e">
        <f ca="1">psiSUM(a_iVal2,y_iVal15,Kij_Val,BIPset,$AE$3,COUNTA(Chem2))</f>
        <v>#NAME?</v>
      </c>
      <c r="NC10" s="1" t="e">
        <f t="shared" ca="1" si="109"/>
        <v>#NAME?</v>
      </c>
      <c r="ND10" s="1" t="e">
        <f t="shared" ca="1" si="110"/>
        <v>#NAME?</v>
      </c>
      <c r="NE10" s="1" t="e">
        <f ca="1">SUM(ND7:ND16)</f>
        <v>#NAME?</v>
      </c>
      <c r="NF10" s="1" t="e">
        <f ca="1">IF($C10="",0,phi_i($MY$7,$MP$7,$MQ$7,O10,$NE$7,MZ10,$NB$7))</f>
        <v>#NAME?</v>
      </c>
      <c r="NG10" s="1" t="e">
        <f ca="1">IF($C10="",0,phi_i($MY$9,$MP$9,$MQ$9,O10,$NE$10,NA10,$NB$10))</f>
        <v>#NAME?</v>
      </c>
      <c r="NH10" s="1" t="e">
        <f t="shared" ca="1" si="111"/>
        <v>#NAME?</v>
      </c>
      <c r="NI10" s="1" t="e">
        <f t="shared" ca="1" si="112"/>
        <v>#NAME?</v>
      </c>
      <c r="NJ10" t="e">
        <f t="shared" ca="1" si="113"/>
        <v>#NAME?</v>
      </c>
      <c r="NK10" t="e">
        <f ca="1">IF(NK7&gt;0.000000001,"Keep Iterating","Stop Iterating")</f>
        <v>#NAME?</v>
      </c>
      <c r="NL10" t="e">
        <f t="shared" ca="1" si="114"/>
        <v>#NAME?</v>
      </c>
      <c r="NN10" t="e">
        <f t="shared" ca="1" si="115"/>
        <v>#NAME?</v>
      </c>
      <c r="NO10" s="89" t="e">
        <f t="shared" ca="1" si="116"/>
        <v>#NAME?</v>
      </c>
      <c r="NP10" s="1"/>
      <c r="NQ10" s="1"/>
      <c r="NZ10" s="1" t="e">
        <f ca="1">IF($C10="","",psi_i(a_iVal2,x_iVal2,$A10,Kij_Val,BIPset,$AC$3,COUNTA(Chem2)))</f>
        <v>#NAME?</v>
      </c>
      <c r="OA10" s="1" t="e">
        <f ca="1">IF($C10="","",psi_i(a_iVal2,y_iVal16,$A10,Kij_Val,BIPset,$AC$3,COUNTA(Chem2)))</f>
        <v>#NAME?</v>
      </c>
      <c r="OB10" s="1" t="e">
        <f ca="1">psiSUM(a_iVal2,y_iVal16,Kij_Val,BIPset,$AE$3,COUNTA(Chem2))</f>
        <v>#NAME?</v>
      </c>
      <c r="OC10" s="1" t="e">
        <f t="shared" ca="1" si="117"/>
        <v>#NAME?</v>
      </c>
      <c r="OD10" s="1" t="e">
        <f t="shared" ca="1" si="118"/>
        <v>#NAME?</v>
      </c>
      <c r="OE10" s="1" t="e">
        <f ca="1">SUM(OD7:OD16)</f>
        <v>#NAME?</v>
      </c>
      <c r="OF10" s="1" t="e">
        <f ca="1">IF($C10="",0,phi_i($NY$7,$NP$7,$NQ$7,O10,$OE$7,NZ10,$OB$7))</f>
        <v>#NAME?</v>
      </c>
      <c r="OG10" s="1" t="e">
        <f ca="1">IF($C10="",0,phi_i($NY$9,$NP$9,$NQ$9,O10,$OE$10,OA10,$OB$10))</f>
        <v>#NAME?</v>
      </c>
      <c r="OH10" s="1" t="e">
        <f t="shared" ca="1" si="119"/>
        <v>#NAME?</v>
      </c>
      <c r="OI10" s="1" t="e">
        <f t="shared" ca="1" si="120"/>
        <v>#NAME?</v>
      </c>
      <c r="OJ10" t="e">
        <f t="shared" ca="1" si="121"/>
        <v>#NAME?</v>
      </c>
      <c r="OK10" t="e">
        <f ca="1">IF(OK7&gt;0.000000001,"Keep Iterating","Stop Iterating")</f>
        <v>#NAME?</v>
      </c>
      <c r="OL10" t="e">
        <f t="shared" ca="1" si="122"/>
        <v>#NAME?</v>
      </c>
      <c r="ON10" t="e">
        <f t="shared" ca="1" si="123"/>
        <v>#NAME?</v>
      </c>
      <c r="OO10" s="89" t="e">
        <f t="shared" ca="1" si="124"/>
        <v>#NAME?</v>
      </c>
      <c r="OP10" s="1"/>
      <c r="OQ10" s="1"/>
      <c r="OZ10" s="1" t="e">
        <f ca="1">IF($C10="","",psi_i(a_iVal2,x_iVal2,$A10,Kij_Val,BIPset,$AC$3,COUNTA(Chem2)))</f>
        <v>#NAME?</v>
      </c>
      <c r="PA10" s="1" t="e">
        <f ca="1">IF($C10="","",psi_i(a_iVal2,y_iVal17,$A10,Kij_Val,BIPset,$AC$3,COUNTA(Chem2)))</f>
        <v>#NAME?</v>
      </c>
      <c r="PB10" s="1" t="e">
        <f ca="1">psiSUM(a_iVal2,y_iVal17,Kij_Val,BIPset,$AE$3,COUNTA(Chem2))</f>
        <v>#NAME?</v>
      </c>
      <c r="PC10" s="1" t="e">
        <f t="shared" ca="1" si="125"/>
        <v>#NAME?</v>
      </c>
      <c r="PD10" s="1" t="e">
        <f t="shared" ca="1" si="126"/>
        <v>#NAME?</v>
      </c>
      <c r="PE10" s="1" t="e">
        <f ca="1">SUM(PD7:PD16)</f>
        <v>#NAME?</v>
      </c>
      <c r="PF10" s="1" t="e">
        <f ca="1">IF($C10="",0,phi_i($OY$7,$OP$7,$OQ$7,O10,$PE$7,OZ10,$PB$7))</f>
        <v>#NAME?</v>
      </c>
      <c r="PG10" s="1" t="e">
        <f ca="1">IF($C10="",0,phi_i($OY$9,$OP$9,$OQ$9,O10,$PE$10,PA10,$PB$10))</f>
        <v>#NAME?</v>
      </c>
      <c r="PH10" s="1" t="e">
        <f t="shared" ca="1" si="127"/>
        <v>#NAME?</v>
      </c>
      <c r="PI10" s="1" t="e">
        <f t="shared" ca="1" si="128"/>
        <v>#NAME?</v>
      </c>
      <c r="PJ10" t="e">
        <f t="shared" ca="1" si="129"/>
        <v>#NAME?</v>
      </c>
      <c r="PK10" t="e">
        <f ca="1">IF(PK7&gt;0.000000001,"Keep Iterating","Stop Iterating")</f>
        <v>#NAME?</v>
      </c>
      <c r="PL10" t="e">
        <f t="shared" ca="1" si="130"/>
        <v>#NAME?</v>
      </c>
      <c r="PN10" t="e">
        <f t="shared" ca="1" si="131"/>
        <v>#NAME?</v>
      </c>
      <c r="PO10" s="89" t="e">
        <f t="shared" ca="1" si="132"/>
        <v>#NAME?</v>
      </c>
      <c r="PP10" s="1"/>
      <c r="PQ10" s="1"/>
      <c r="PZ10" s="1" t="e">
        <f ca="1">IF($C10="","",psi_i(a_iVal2,x_iVal2,$A10,Kij_Val,BIPset,$AC$3,COUNTA(Chem2)))</f>
        <v>#NAME?</v>
      </c>
      <c r="QA10" s="1" t="e">
        <f ca="1">IF($C10="","",psi_i(a_iVal2,y_iVal18,$A10,Kij_Val,BIPset,$AC$3,COUNTA(Chem2)))</f>
        <v>#NAME?</v>
      </c>
      <c r="QB10" s="1" t="e">
        <f ca="1">psiSUM(a_iVal2,y_iVal18,Kij_Val,BIPset,$AE$3,COUNTA(Chem2))</f>
        <v>#NAME?</v>
      </c>
      <c r="QC10" s="1" t="e">
        <f t="shared" ca="1" si="133"/>
        <v>#NAME?</v>
      </c>
      <c r="QD10" s="1" t="e">
        <f t="shared" ca="1" si="134"/>
        <v>#NAME?</v>
      </c>
      <c r="QE10" s="1" t="e">
        <f ca="1">SUM(QD7:QD16)</f>
        <v>#NAME?</v>
      </c>
      <c r="QF10" s="1" t="e">
        <f ca="1">IF($C10="",0,phi_i($PY$7,$PP$7,$PQ$7,O10,$QE$7,PZ10,$QB$7))</f>
        <v>#NAME?</v>
      </c>
      <c r="QG10" s="1" t="e">
        <f ca="1">IF($C10="",0,phi_i($PY$9,$PP$9,$PQ$9,O10,$QE$10,QA10,$QB$10))</f>
        <v>#NAME?</v>
      </c>
      <c r="QH10" s="1" t="e">
        <f t="shared" ca="1" si="135"/>
        <v>#NAME?</v>
      </c>
      <c r="QI10" s="1" t="e">
        <f t="shared" ca="1" si="136"/>
        <v>#NAME?</v>
      </c>
      <c r="QJ10" t="e">
        <f t="shared" ca="1" si="137"/>
        <v>#NAME?</v>
      </c>
      <c r="QK10" t="e">
        <f ca="1">IF(QK7&gt;0.000000001,"Keep Iterating","Stop Iterating")</f>
        <v>#NAME?</v>
      </c>
      <c r="QL10" t="e">
        <f t="shared" ca="1" si="138"/>
        <v>#NAME?</v>
      </c>
      <c r="QN10" t="e">
        <f t="shared" ca="1" si="139"/>
        <v>#NAME?</v>
      </c>
      <c r="QO10" s="89" t="e">
        <f t="shared" ca="1" si="140"/>
        <v>#NAME?</v>
      </c>
    </row>
    <row r="11" spans="1:457">
      <c r="A11">
        <f t="shared" si="141"/>
        <v>5</v>
      </c>
      <c r="B11" s="18" t="str">
        <f>Wilson!B11</f>
        <v>MF Water</v>
      </c>
      <c r="C11" s="109">
        <f>Wilson!C11</f>
        <v>0.1</v>
      </c>
      <c r="D11" s="109" t="str">
        <f>Wilson!D11</f>
        <v>-</v>
      </c>
      <c r="E11" s="109">
        <f>Wilson!E11</f>
        <v>647.13</v>
      </c>
      <c r="F11" s="109">
        <f>Wilson!F11</f>
        <v>21940</v>
      </c>
      <c r="G11" s="109">
        <f>Wilson!G11</f>
        <v>0.22800000000000001</v>
      </c>
      <c r="H11" s="109">
        <f>Wilson!H11</f>
        <v>0.34300000000000003</v>
      </c>
      <c r="I11" s="109">
        <f t="shared" si="1"/>
        <v>0.46358536924574661</v>
      </c>
      <c r="J11" s="113">
        <f t="shared" si="2"/>
        <v>0.1</v>
      </c>
      <c r="K11" s="113"/>
      <c r="L11" s="13" t="e">
        <f t="shared" ca="1" si="3"/>
        <v>#NAME?</v>
      </c>
      <c r="M11" s="1" t="e">
        <f t="shared" ca="1" si="4"/>
        <v>#NAME?</v>
      </c>
      <c r="N11" s="1" t="e">
        <f ca="1">a_i($E11,$F11)*alpha($H11,$I11)</f>
        <v>#NAME?</v>
      </c>
      <c r="O11" s="1" t="e">
        <f t="shared" ca="1" si="0"/>
        <v>#NAME?</v>
      </c>
      <c r="P11" s="1"/>
      <c r="Q11" s="1"/>
      <c r="Z11" s="1" t="e">
        <f ca="1">IF(C11="","",psi_i(a_iVal2,x_iVal2,A11,Kij_Val,BIPset,$AC$3,COUNTA(Chem2)))</f>
        <v>#NAME?</v>
      </c>
      <c r="AA11" s="1" t="e">
        <f ca="1">IF(C11="","",psi_i(a_iVal2,y_iVal2,A11,Kij_Val,BIPset,$AC$3,COUNTA(Chem2)))</f>
        <v>#NAME?</v>
      </c>
      <c r="AB11" s="1"/>
      <c r="AC11" s="1" t="e">
        <f t="shared" ca="1" si="5"/>
        <v>#NAME?</v>
      </c>
      <c r="AD11" s="1" t="e">
        <f t="shared" ca="1" si="6"/>
        <v>#NAME?</v>
      </c>
      <c r="AE11" s="1"/>
      <c r="AF11" s="1" t="e">
        <f ca="1">IF(C11="",0,phi_i($Y$7,$P$7,$Q$7,O11,$AE$7,Z11,$AB$7))</f>
        <v>#NAME?</v>
      </c>
      <c r="AG11" s="1" t="e">
        <f ca="1">IF(C11="",0,phi_i($Y$9,$P$9,$Q$9,O11,$AE$10,AA11,$AB$10))</f>
        <v>#NAME?</v>
      </c>
      <c r="AH11" s="1" t="e">
        <f t="shared" ca="1" si="7"/>
        <v>#NAME?</v>
      </c>
      <c r="AI11" s="1" t="e">
        <f t="shared" ca="1" si="8"/>
        <v>#NAME?</v>
      </c>
      <c r="AJ11" t="e">
        <f t="shared" ca="1" si="9"/>
        <v>#NAME?</v>
      </c>
      <c r="AL11" t="e">
        <f t="shared" ca="1" si="10"/>
        <v>#NAME?</v>
      </c>
      <c r="AN11" t="e">
        <f t="shared" ca="1" si="11"/>
        <v>#NAME?</v>
      </c>
      <c r="AO11" s="89" t="e">
        <f t="shared" ca="1" si="12"/>
        <v>#NAME?</v>
      </c>
      <c r="AP11" s="1"/>
      <c r="AQ11" s="1"/>
      <c r="AZ11" s="1" t="e">
        <f ca="1">IF($C11="","",psi_i(a_iVal2,x_iVal2,$A11,Kij_Val,BIPset,$AC$3,COUNTA(Chem2)))</f>
        <v>#NAME?</v>
      </c>
      <c r="BA11" s="1" t="e">
        <f ca="1">IF($C11="","",psi_i(a_iVal2,y_iVal3,$A11,Kij_Val,BIPset,$AC$3,COUNTA(Chem2)))</f>
        <v>#NAME?</v>
      </c>
      <c r="BB11" s="1"/>
      <c r="BC11" s="1" t="e">
        <f t="shared" ca="1" si="13"/>
        <v>#NAME?</v>
      </c>
      <c r="BD11" s="1" t="e">
        <f t="shared" ca="1" si="14"/>
        <v>#NAME?</v>
      </c>
      <c r="BE11" s="1"/>
      <c r="BF11" s="1" t="e">
        <f ca="1">IF($C11="",0,phi_i($AY$7,$AP$7,$AQ$7,O11,$BE$7,AZ11,$BB$7))</f>
        <v>#NAME?</v>
      </c>
      <c r="BG11" s="1" t="e">
        <f ca="1">IF(AC11="",0,phi_i($AY$9,$AP$9,$AQ$9,O11,$BE$10,BA11,$BB$10))</f>
        <v>#NAME?</v>
      </c>
      <c r="BH11" s="1" t="e">
        <f t="shared" ca="1" si="15"/>
        <v>#NAME?</v>
      </c>
      <c r="BI11" s="1" t="e">
        <f t="shared" ca="1" si="16"/>
        <v>#NAME?</v>
      </c>
      <c r="BJ11" t="e">
        <f t="shared" ca="1" si="17"/>
        <v>#NAME?</v>
      </c>
      <c r="BL11" t="e">
        <f t="shared" ca="1" si="18"/>
        <v>#NAME?</v>
      </c>
      <c r="BN11" t="e">
        <f t="shared" ca="1" si="19"/>
        <v>#NAME?</v>
      </c>
      <c r="BO11" s="89" t="e">
        <f t="shared" ca="1" si="20"/>
        <v>#NAME?</v>
      </c>
      <c r="BP11" s="1"/>
      <c r="BQ11" s="1"/>
      <c r="BZ11" s="1" t="e">
        <f ca="1">IF($C11="","",psi_i(a_iVal2,x_iVal2,$A11,Kij_Val,BIPset,$AC$3,COUNTA(Chem2)))</f>
        <v>#NAME?</v>
      </c>
      <c r="CA11" s="1" t="e">
        <f ca="1">IF($C11="","",psi_i(a_iVal2,y_iVal4,$A11,Kij_Val,BIPset,$AC$3,COUNTA(Chem2)))</f>
        <v>#NAME?</v>
      </c>
      <c r="CB11" s="1"/>
      <c r="CC11" s="1" t="e">
        <f t="shared" ca="1" si="21"/>
        <v>#NAME?</v>
      </c>
      <c r="CD11" s="1" t="e">
        <f t="shared" ca="1" si="22"/>
        <v>#NAME?</v>
      </c>
      <c r="CE11" s="1"/>
      <c r="CF11" s="1" t="e">
        <f ca="1">IF($C11="",0,phi_i($BY$7,$BP$7,$BQ$7,O11,$CE$7,BZ11,$CB$7))</f>
        <v>#NAME?</v>
      </c>
      <c r="CG11" s="1" t="e">
        <f ca="1">IF($C11="",0,phi_i($BY$9,$BP$9,$BQ$9,O11,$CE$10,$CA$7,$CB$10))</f>
        <v>#NAME?</v>
      </c>
      <c r="CH11" s="1" t="e">
        <f t="shared" ca="1" si="23"/>
        <v>#NAME?</v>
      </c>
      <c r="CI11" s="1" t="e">
        <f t="shared" ca="1" si="24"/>
        <v>#NAME?</v>
      </c>
      <c r="CJ11" t="e">
        <f t="shared" ca="1" si="25"/>
        <v>#NAME?</v>
      </c>
      <c r="CL11" t="e">
        <f t="shared" ca="1" si="26"/>
        <v>#NAME?</v>
      </c>
      <c r="CN11" t="e">
        <f t="shared" ca="1" si="27"/>
        <v>#NAME?</v>
      </c>
      <c r="CO11" s="89" t="e">
        <f t="shared" ca="1" si="28"/>
        <v>#NAME?</v>
      </c>
      <c r="CP11" s="1"/>
      <c r="CQ11" s="1"/>
      <c r="CZ11" s="1" t="e">
        <f ca="1">IF($C11="","",psi_i(a_iVal2,x_iVal2,$A11,Kij_Val,BIPset,$AC$3,COUNTA(Chem2)))</f>
        <v>#NAME?</v>
      </c>
      <c r="DA11" s="1" t="e">
        <f ca="1">IF($C11="","",psi_i(a_iVal2,y_iVal5,$A11,Kij_Val,BIPset,$AC$3,COUNTA(Chem2)))</f>
        <v>#NAME?</v>
      </c>
      <c r="DB11" s="1"/>
      <c r="DC11" s="1" t="e">
        <f t="shared" ca="1" si="29"/>
        <v>#NAME?</v>
      </c>
      <c r="DD11" s="1" t="e">
        <f t="shared" ca="1" si="30"/>
        <v>#NAME?</v>
      </c>
      <c r="DE11" s="1"/>
      <c r="DF11" s="1" t="e">
        <f ca="1">IF($C11="",0,phi_i($CY$7,$CP$7,$CQ$7,O11,$DE$7,CZ11,$DB$7))</f>
        <v>#NAME?</v>
      </c>
      <c r="DG11" s="1" t="e">
        <f ca="1">IF($C11="",0,phi_i($CY$9,$CP$9,$CQ$9,O11,$DE$10,DA11,$DB$10))</f>
        <v>#NAME?</v>
      </c>
      <c r="DH11" s="1" t="e">
        <f t="shared" ca="1" si="31"/>
        <v>#NAME?</v>
      </c>
      <c r="DI11" s="1" t="e">
        <f t="shared" ca="1" si="32"/>
        <v>#NAME?</v>
      </c>
      <c r="DJ11" t="e">
        <f t="shared" ca="1" si="33"/>
        <v>#NAME?</v>
      </c>
      <c r="DL11" t="e">
        <f t="shared" ca="1" si="34"/>
        <v>#NAME?</v>
      </c>
      <c r="DN11" t="e">
        <f t="shared" ca="1" si="35"/>
        <v>#NAME?</v>
      </c>
      <c r="DO11" s="89" t="e">
        <f t="shared" ca="1" si="36"/>
        <v>#NAME?</v>
      </c>
      <c r="DP11" s="1"/>
      <c r="DQ11" s="1"/>
      <c r="DZ11" s="1" t="e">
        <f ca="1">IF($C11="","",psi_i(a_iVal2,x_iVal2,$A11,Kij_Val,BIPset,$AC$3,COUNTA(Chem2)))</f>
        <v>#NAME?</v>
      </c>
      <c r="EA11" s="1" t="e">
        <f ca="1">IF($C11="","",psi_i(a_iVal2,y_iVal6,$A11,Kij_Val,BIPset,$AC$3,COUNTA(Chem2)))</f>
        <v>#NAME?</v>
      </c>
      <c r="EB11" s="1"/>
      <c r="EC11" s="1" t="e">
        <f t="shared" ca="1" si="37"/>
        <v>#NAME?</v>
      </c>
      <c r="ED11" s="1" t="e">
        <f t="shared" ca="1" si="38"/>
        <v>#NAME?</v>
      </c>
      <c r="EE11" s="1"/>
      <c r="EF11" s="1" t="e">
        <f ca="1">IF($C11="",0,phi_i($DY$7,$DP$7,$DQ$7,O11,$EE$7,DZ11,$EB$7))</f>
        <v>#NAME?</v>
      </c>
      <c r="EG11" s="1" t="e">
        <f ca="1">IF($C11="",0,phi_i($DY$9,$DP$9,$DQ$9,O11,$EE$10,EA11,$EB$10))</f>
        <v>#NAME?</v>
      </c>
      <c r="EH11" s="1" t="e">
        <f t="shared" ca="1" si="39"/>
        <v>#NAME?</v>
      </c>
      <c r="EI11" s="1" t="e">
        <f t="shared" ca="1" si="40"/>
        <v>#NAME?</v>
      </c>
      <c r="EJ11" t="e">
        <f t="shared" ca="1" si="41"/>
        <v>#NAME?</v>
      </c>
      <c r="EL11" t="e">
        <f t="shared" ca="1" si="42"/>
        <v>#NAME?</v>
      </c>
      <c r="EN11" t="e">
        <f t="shared" ca="1" si="43"/>
        <v>#NAME?</v>
      </c>
      <c r="EO11" s="89" t="e">
        <f t="shared" ca="1" si="44"/>
        <v>#NAME?</v>
      </c>
      <c r="EP11" s="1"/>
      <c r="EQ11" s="1"/>
      <c r="EZ11" s="1" t="e">
        <f ca="1">IF($C11="","",psi_i(a_iVal2,x_iVal2,$A11,Kij_Val,BIPset,$AC$3,COUNTA(Chem2)))</f>
        <v>#NAME?</v>
      </c>
      <c r="FA11" s="1" t="e">
        <f ca="1">IF($C11="","",psi_i(a_iVal2,y_iVal7,$A11,Kij_Val,BIPset,$AC$3,COUNTA(Chem2)))</f>
        <v>#NAME?</v>
      </c>
      <c r="FB11" s="1"/>
      <c r="FC11" s="1" t="e">
        <f t="shared" ca="1" si="45"/>
        <v>#NAME?</v>
      </c>
      <c r="FD11" s="1" t="e">
        <f t="shared" ca="1" si="46"/>
        <v>#NAME?</v>
      </c>
      <c r="FE11" s="1"/>
      <c r="FF11" s="1" t="e">
        <f ca="1">IF($C11="",0,phi_i($EY$7,$EP$7,$EQ$7,O11,$FE$7,EZ11,$FB$7))</f>
        <v>#NAME?</v>
      </c>
      <c r="FG11" s="1" t="e">
        <f ca="1">IF($C11="",0,phi_i($EY$9,$EP$9,$EQ$9,O11,$FE$10,FA11,$FB$10))</f>
        <v>#NAME?</v>
      </c>
      <c r="FH11" s="1" t="e">
        <f t="shared" ca="1" si="47"/>
        <v>#NAME?</v>
      </c>
      <c r="FI11" s="1" t="e">
        <f t="shared" ca="1" si="48"/>
        <v>#NAME?</v>
      </c>
      <c r="FJ11" t="e">
        <f t="shared" ca="1" si="49"/>
        <v>#NAME?</v>
      </c>
      <c r="FL11" t="e">
        <f t="shared" ca="1" si="50"/>
        <v>#NAME?</v>
      </c>
      <c r="FN11" t="e">
        <f t="shared" ca="1" si="51"/>
        <v>#NAME?</v>
      </c>
      <c r="FO11" s="89" t="e">
        <f t="shared" ca="1" si="52"/>
        <v>#NAME?</v>
      </c>
      <c r="FP11" s="1"/>
      <c r="FQ11" s="1"/>
      <c r="FZ11" s="1" t="e">
        <f ca="1">IF($C11="","",psi_i(a_iVal2,x_iVal2,$A11,Kij_Val,BIPset,$AC$3,COUNTA(Chem2)))</f>
        <v>#NAME?</v>
      </c>
      <c r="GA11" s="1" t="e">
        <f ca="1">IF($C11="","",psi_i(a_iVal2,y_iVal8,$A11,Kij_Val,BIPset,$AC$3,COUNTA(Chem2)))</f>
        <v>#NAME?</v>
      </c>
      <c r="GB11" s="1"/>
      <c r="GC11" s="1" t="e">
        <f t="shared" ca="1" si="53"/>
        <v>#NAME?</v>
      </c>
      <c r="GD11" s="1" t="e">
        <f t="shared" ca="1" si="54"/>
        <v>#NAME?</v>
      </c>
      <c r="GE11" s="1"/>
      <c r="GF11" s="1" t="e">
        <f ca="1">IF($C11="",0,phi_i($FY$7,$FP$7,$FQ$7,O11,$GE$7,FZ11,$GB$7))</f>
        <v>#NAME?</v>
      </c>
      <c r="GG11" s="1" t="e">
        <f ca="1">IF($C11="",0,phi_i($FY$9,$FP$9,$FQ$9,O11,$GE$10,GA11,$GB$10))</f>
        <v>#NAME?</v>
      </c>
      <c r="GH11" s="1" t="e">
        <f t="shared" ca="1" si="55"/>
        <v>#NAME?</v>
      </c>
      <c r="GI11" s="1" t="e">
        <f t="shared" ca="1" si="56"/>
        <v>#NAME?</v>
      </c>
      <c r="GJ11" t="e">
        <f t="shared" ca="1" si="57"/>
        <v>#NAME?</v>
      </c>
      <c r="GL11" t="e">
        <f t="shared" ca="1" si="58"/>
        <v>#NAME?</v>
      </c>
      <c r="GN11" t="e">
        <f t="shared" ca="1" si="59"/>
        <v>#NAME?</v>
      </c>
      <c r="GO11" s="89" t="e">
        <f t="shared" ca="1" si="60"/>
        <v>#NAME?</v>
      </c>
      <c r="GP11" s="1"/>
      <c r="GQ11" s="1"/>
      <c r="GZ11" s="1" t="e">
        <f ca="1">IF($C11="","",psi_i(a_iVal2,x_iVal2,$A11,Kij_Val,BIPset,$AC$3,COUNTA(Chem2)))</f>
        <v>#NAME?</v>
      </c>
      <c r="HA11" s="1" t="e">
        <f ca="1">IF($C11="","",psi_i(a_iVal2,y_iVal9,$A11,Kij_Val,BIPset,$AC$3,COUNTA(Chem2)))</f>
        <v>#NAME?</v>
      </c>
      <c r="HB11" s="1"/>
      <c r="HC11" s="1" t="e">
        <f t="shared" ca="1" si="61"/>
        <v>#NAME?</v>
      </c>
      <c r="HD11" s="1" t="e">
        <f t="shared" ca="1" si="62"/>
        <v>#NAME?</v>
      </c>
      <c r="HE11" s="1"/>
      <c r="HF11" s="1" t="e">
        <f ca="1">IF($C11="",0,phi_i($GY$7,$GP$7,$GQ$7,O11,$HE$7,GZ11,$HB$7))</f>
        <v>#NAME?</v>
      </c>
      <c r="HG11" s="1" t="e">
        <f ca="1">IF($C11="",0,phi_i($GY$9,$GP$9,$GQ$9,O11,$HE$10,HA11,$HB$10))</f>
        <v>#NAME?</v>
      </c>
      <c r="HH11" s="1" t="e">
        <f t="shared" ca="1" si="63"/>
        <v>#NAME?</v>
      </c>
      <c r="HI11" s="1" t="e">
        <f t="shared" ca="1" si="64"/>
        <v>#NAME?</v>
      </c>
      <c r="HJ11" t="e">
        <f t="shared" ca="1" si="65"/>
        <v>#NAME?</v>
      </c>
      <c r="HL11" t="e">
        <f t="shared" ca="1" si="66"/>
        <v>#NAME?</v>
      </c>
      <c r="HN11" t="e">
        <f t="shared" ca="1" si="67"/>
        <v>#NAME?</v>
      </c>
      <c r="HO11" s="89" t="e">
        <f t="shared" ca="1" si="68"/>
        <v>#NAME?</v>
      </c>
      <c r="HP11" s="1"/>
      <c r="HQ11" s="1"/>
      <c r="HZ11" s="1" t="e">
        <f ca="1">IF($C11="","",psi_i(a_iVal2,x_iVal2,$A11,Kij_Val,BIPset,$AC$3,COUNTA(Chem2)))</f>
        <v>#NAME?</v>
      </c>
      <c r="IA11" s="1" t="e">
        <f ca="1">IF($C11="","",psi_i(a_iVal2,y_iVal10,$A11,Kij_Val,BIPset,$AC$3,COUNTA(Chem2)))</f>
        <v>#NAME?</v>
      </c>
      <c r="IB11" s="1"/>
      <c r="IC11" s="1" t="e">
        <f t="shared" ca="1" si="69"/>
        <v>#NAME?</v>
      </c>
      <c r="ID11" s="1" t="e">
        <f t="shared" ca="1" si="70"/>
        <v>#NAME?</v>
      </c>
      <c r="IE11" s="1"/>
      <c r="IF11" s="1" t="e">
        <f ca="1">IF($C11="",0,phi_i($HY$7,$HP$7,$HQ$7,O11,$IE$7,HZ11,$IB$7))</f>
        <v>#NAME?</v>
      </c>
      <c r="IG11" s="1" t="e">
        <f ca="1">IF($C11="",0,phi_i($HY$9,$HP$9,$HQ$9,O11,$IE$10,IA11,$IB$10))</f>
        <v>#NAME?</v>
      </c>
      <c r="IH11" s="1" t="e">
        <f t="shared" ca="1" si="71"/>
        <v>#NAME?</v>
      </c>
      <c r="II11" s="1" t="e">
        <f t="shared" ca="1" si="72"/>
        <v>#NAME?</v>
      </c>
      <c r="IJ11" t="e">
        <f t="shared" ca="1" si="73"/>
        <v>#NAME?</v>
      </c>
      <c r="IL11" t="e">
        <f t="shared" ca="1" si="74"/>
        <v>#NAME?</v>
      </c>
      <c r="IN11" t="e">
        <f t="shared" ca="1" si="75"/>
        <v>#NAME?</v>
      </c>
      <c r="IO11" s="89" t="e">
        <f t="shared" ca="1" si="76"/>
        <v>#NAME?</v>
      </c>
      <c r="IP11" s="1"/>
      <c r="IQ11" s="1"/>
      <c r="IZ11" s="1" t="e">
        <f ca="1">IF($C11="","",psi_i(a_iVal2,x_iVal2,$A11,Kij_Val,BIPset,$AC$3,COUNTA(Chem2)))</f>
        <v>#NAME?</v>
      </c>
      <c r="JA11" s="1" t="e">
        <f ca="1">IF($C11="","",psi_i(a_iVal2,y_iVal10,$A11,Kij_Val,BIPset,$AC$3,COUNTA(Chem2)))</f>
        <v>#NAME?</v>
      </c>
      <c r="JB11" s="1"/>
      <c r="JC11" s="1" t="e">
        <f t="shared" ca="1" si="77"/>
        <v>#NAME?</v>
      </c>
      <c r="JD11" s="1" t="e">
        <f t="shared" ca="1" si="78"/>
        <v>#NAME?</v>
      </c>
      <c r="JE11" s="1"/>
      <c r="JF11" s="1" t="e">
        <f ca="1">IF($C11="",0,phi_i($IY$7,$IP$7,$IQ$7,O11,$JE$7,IZ11,$JB$7))</f>
        <v>#NAME?</v>
      </c>
      <c r="JG11" s="1" t="e">
        <f ca="1">IF($C11="",0,phi_i($IY$9,$IP$9,$IQ$9,O11,$JE$10,JA11,$JB$10))</f>
        <v>#NAME?</v>
      </c>
      <c r="JH11" s="1" t="e">
        <f t="shared" ca="1" si="79"/>
        <v>#NAME?</v>
      </c>
      <c r="JI11" s="1" t="e">
        <f t="shared" ca="1" si="80"/>
        <v>#NAME?</v>
      </c>
      <c r="JJ11" t="e">
        <f t="shared" ca="1" si="81"/>
        <v>#NAME?</v>
      </c>
      <c r="JL11" t="e">
        <f t="shared" ca="1" si="82"/>
        <v>#NAME?</v>
      </c>
      <c r="JN11" t="e">
        <f t="shared" ca="1" si="83"/>
        <v>#NAME?</v>
      </c>
      <c r="JO11" s="89" t="e">
        <f t="shared" ca="1" si="84"/>
        <v>#NAME?</v>
      </c>
      <c r="JP11" s="1"/>
      <c r="JQ11" s="1"/>
      <c r="JZ11" s="1" t="e">
        <f ca="1">IF($C11="","",psi_i(a_iVal2,x_iVal2,$A11,Kij_Val,BIPset,$AC$3,COUNTA(Chem2)))</f>
        <v>#NAME?</v>
      </c>
      <c r="KA11" s="1" t="e">
        <f ca="1">IF($C11="","",psi_i(a_iVal2,y_iVal12,$A11,Kij_Val,BIPset,$AC$3,COUNTA(Chem2)))</f>
        <v>#NAME?</v>
      </c>
      <c r="KB11" s="1"/>
      <c r="KC11" s="1" t="e">
        <f t="shared" ca="1" si="85"/>
        <v>#NAME?</v>
      </c>
      <c r="KD11" s="1" t="e">
        <f t="shared" ca="1" si="86"/>
        <v>#NAME?</v>
      </c>
      <c r="KE11" s="1"/>
      <c r="KF11" s="1" t="e">
        <f ca="1">IF($C11="",0,phi_i($JY$7,$JP$7,$JQ$7,O11,$KE$7,JZ11,$KB$7))</f>
        <v>#NAME?</v>
      </c>
      <c r="KG11" s="1" t="e">
        <f ca="1">IF($C11="",0,phi_i($JY$9,$JP$9,$JQ$9,O11,$KE$10,KA11,$KB$10))</f>
        <v>#NAME?</v>
      </c>
      <c r="KH11" s="1" t="e">
        <f t="shared" ca="1" si="87"/>
        <v>#NAME?</v>
      </c>
      <c r="KI11" s="1" t="e">
        <f t="shared" ca="1" si="88"/>
        <v>#NAME?</v>
      </c>
      <c r="KJ11" t="e">
        <f t="shared" ca="1" si="89"/>
        <v>#NAME?</v>
      </c>
      <c r="KL11" t="e">
        <f t="shared" ca="1" si="90"/>
        <v>#NAME?</v>
      </c>
      <c r="KN11" t="e">
        <f t="shared" ca="1" si="91"/>
        <v>#NAME?</v>
      </c>
      <c r="KO11" s="89" t="e">
        <f t="shared" ca="1" si="92"/>
        <v>#NAME?</v>
      </c>
      <c r="KP11" s="1"/>
      <c r="KQ11" s="1"/>
      <c r="KZ11" s="1" t="e">
        <f ca="1">IF($C11="","",psi_i(a_iVal2,x_iVal2,$A11,Kij_Val,BIPset,$AC$3,COUNTA(Chem2)))</f>
        <v>#NAME?</v>
      </c>
      <c r="LA11" s="1" t="e">
        <f ca="1">IF($C11="","",psi_i(a_iVal2,y_iVal13,$A11,Kij_Val,BIPset,$AC$3,COUNTA(Chem2)))</f>
        <v>#NAME?</v>
      </c>
      <c r="LB11" s="1"/>
      <c r="LC11" s="1" t="e">
        <f t="shared" ca="1" si="93"/>
        <v>#NAME?</v>
      </c>
      <c r="LD11" s="1" t="e">
        <f t="shared" ca="1" si="94"/>
        <v>#NAME?</v>
      </c>
      <c r="LE11" s="1"/>
      <c r="LF11" s="1" t="e">
        <f ca="1">IF($C11="",0,phi_i($KY$7,$KP$7,$KQ$7,O11,$LE$7,KZ11,$LB$7))</f>
        <v>#NAME?</v>
      </c>
      <c r="LG11" s="1" t="e">
        <f ca="1">IF($C11="",0,phi_i($KY$9,$KP$9,$KQ$9,O11,$LE$10,LA11,$LB$10))</f>
        <v>#NAME?</v>
      </c>
      <c r="LH11" s="1" t="e">
        <f t="shared" ca="1" si="95"/>
        <v>#NAME?</v>
      </c>
      <c r="LI11" s="1" t="e">
        <f t="shared" ca="1" si="96"/>
        <v>#NAME?</v>
      </c>
      <c r="LJ11" t="e">
        <f t="shared" ca="1" si="97"/>
        <v>#NAME?</v>
      </c>
      <c r="LL11" t="e">
        <f t="shared" ca="1" si="98"/>
        <v>#NAME?</v>
      </c>
      <c r="LN11" t="e">
        <f t="shared" ca="1" si="99"/>
        <v>#NAME?</v>
      </c>
      <c r="LO11" s="89" t="e">
        <f t="shared" ca="1" si="100"/>
        <v>#NAME?</v>
      </c>
      <c r="LP11" s="1"/>
      <c r="LQ11" s="1"/>
      <c r="LZ11" s="1" t="e">
        <f ca="1">IF($C11="","",psi_i(a_iVal2,x_iVal2,$A11,Kij_Val,BIPset,$AC$3,COUNTA(Chem2)))</f>
        <v>#NAME?</v>
      </c>
      <c r="MA11" s="1" t="e">
        <f ca="1">IF($C11="","",psi_i(a_iVal2,y_iVal14,$A11,Kij_Val,BIPset,$AC$3,COUNTA(Chem2)))</f>
        <v>#NAME?</v>
      </c>
      <c r="MB11" s="1"/>
      <c r="MC11" s="1" t="e">
        <f t="shared" ca="1" si="101"/>
        <v>#NAME?</v>
      </c>
      <c r="MD11" s="1" t="e">
        <f t="shared" ca="1" si="102"/>
        <v>#NAME?</v>
      </c>
      <c r="ME11" s="1"/>
      <c r="MF11" s="1" t="e">
        <f ca="1">IF($C11="",0,phi_i($LY$7,$LP$7,$LQ$7,O11,$ME$7,LZ11,$MB$7))</f>
        <v>#NAME?</v>
      </c>
      <c r="MG11" s="1" t="e">
        <f ca="1">IF($C11="",0,phi_i($LY$9,$LP$9,$LQ$9,O11,$ME$10,MA11,$MB$10))</f>
        <v>#NAME?</v>
      </c>
      <c r="MH11" s="1" t="e">
        <f t="shared" ca="1" si="103"/>
        <v>#NAME?</v>
      </c>
      <c r="MI11" s="1" t="e">
        <f t="shared" ca="1" si="104"/>
        <v>#NAME?</v>
      </c>
      <c r="MJ11" t="e">
        <f t="shared" ca="1" si="105"/>
        <v>#NAME?</v>
      </c>
      <c r="ML11" t="e">
        <f t="shared" ca="1" si="106"/>
        <v>#NAME?</v>
      </c>
      <c r="MN11" t="e">
        <f t="shared" ca="1" si="107"/>
        <v>#NAME?</v>
      </c>
      <c r="MO11" s="89" t="e">
        <f t="shared" ca="1" si="108"/>
        <v>#NAME?</v>
      </c>
      <c r="MP11" s="1"/>
      <c r="MQ11" s="1"/>
      <c r="MZ11" s="1" t="e">
        <f ca="1">IF($C11="","",psi_i(a_iVal2,x_iVal2,$A11,Kij_Val,BIPset,$AC$3,COUNTA(Chem2)))</f>
        <v>#NAME?</v>
      </c>
      <c r="NA11" s="1" t="e">
        <f ca="1">IF($C11="","",psi_i(a_iVal2,y_iVal15,$A11,Kij_Val,BIPset,$AC$3,COUNTA(Chem2)))</f>
        <v>#NAME?</v>
      </c>
      <c r="NB11" s="1"/>
      <c r="NC11" s="1" t="e">
        <f t="shared" ca="1" si="109"/>
        <v>#NAME?</v>
      </c>
      <c r="ND11" s="1" t="e">
        <f t="shared" ca="1" si="110"/>
        <v>#NAME?</v>
      </c>
      <c r="NE11" s="1"/>
      <c r="NF11" s="1" t="e">
        <f ca="1">IF($C11="",0,phi_i($MY$7,$MP$7,$MQ$7,O11,$NE$7,MZ11,$NB$7))</f>
        <v>#NAME?</v>
      </c>
      <c r="NG11" s="1" t="e">
        <f ca="1">IF($C11="",0,phi_i($MY$9,$MP$9,$MQ$9,O11,$NE$10,NA11,$NB$10))</f>
        <v>#NAME?</v>
      </c>
      <c r="NH11" s="1" t="e">
        <f t="shared" ca="1" si="111"/>
        <v>#NAME?</v>
      </c>
      <c r="NI11" s="1" t="e">
        <f t="shared" ca="1" si="112"/>
        <v>#NAME?</v>
      </c>
      <c r="NJ11" t="e">
        <f t="shared" ca="1" si="113"/>
        <v>#NAME?</v>
      </c>
      <c r="NL11" t="e">
        <f t="shared" ca="1" si="114"/>
        <v>#NAME?</v>
      </c>
      <c r="NN11" t="e">
        <f t="shared" ca="1" si="115"/>
        <v>#NAME?</v>
      </c>
      <c r="NO11" s="89" t="e">
        <f t="shared" ca="1" si="116"/>
        <v>#NAME?</v>
      </c>
      <c r="NP11" s="1"/>
      <c r="NQ11" s="1"/>
      <c r="NZ11" s="1" t="e">
        <f ca="1">IF($C11="","",psi_i(a_iVal2,x_iVal2,$A11,Kij_Val,BIPset,$AC$3,COUNTA(Chem2)))</f>
        <v>#NAME?</v>
      </c>
      <c r="OA11" s="1" t="e">
        <f ca="1">IF($C11="","",psi_i(a_iVal2,y_iVal16,$A11,Kij_Val,BIPset,$AC$3,COUNTA(Chem2)))</f>
        <v>#NAME?</v>
      </c>
      <c r="OB11" s="1"/>
      <c r="OC11" s="1" t="e">
        <f t="shared" ca="1" si="117"/>
        <v>#NAME?</v>
      </c>
      <c r="OD11" s="1" t="e">
        <f t="shared" ca="1" si="118"/>
        <v>#NAME?</v>
      </c>
      <c r="OE11" s="1"/>
      <c r="OF11" s="1" t="e">
        <f ca="1">IF($C11="",0,phi_i($NY$7,$NP$7,$NQ$7,O11,$OE$7,NZ11,$OB$7))</f>
        <v>#NAME?</v>
      </c>
      <c r="OG11" s="1" t="e">
        <f ca="1">IF($C11="",0,phi_i($NY$9,$NP$9,$NQ$9,O11,$OE$10,OA11,$OB$10))</f>
        <v>#NAME?</v>
      </c>
      <c r="OH11" s="1" t="e">
        <f t="shared" ca="1" si="119"/>
        <v>#NAME?</v>
      </c>
      <c r="OI11" s="1" t="e">
        <f t="shared" ca="1" si="120"/>
        <v>#NAME?</v>
      </c>
      <c r="OJ11" t="e">
        <f t="shared" ca="1" si="121"/>
        <v>#NAME?</v>
      </c>
      <c r="OL11" t="e">
        <f t="shared" ca="1" si="122"/>
        <v>#NAME?</v>
      </c>
      <c r="ON11" t="e">
        <f t="shared" ca="1" si="123"/>
        <v>#NAME?</v>
      </c>
      <c r="OO11" s="89" t="e">
        <f t="shared" ca="1" si="124"/>
        <v>#NAME?</v>
      </c>
      <c r="OP11" s="1"/>
      <c r="OQ11" s="1"/>
      <c r="OZ11" s="1" t="e">
        <f ca="1">IF($C11="","",psi_i(a_iVal2,x_iVal2,$A11,Kij_Val,BIPset,$AC$3,COUNTA(Chem2)))</f>
        <v>#NAME?</v>
      </c>
      <c r="PA11" s="1" t="e">
        <f ca="1">IF($C11="","",psi_i(a_iVal2,y_iVal17,$A11,Kij_Val,BIPset,$AC$3,COUNTA(Chem2)))</f>
        <v>#NAME?</v>
      </c>
      <c r="PB11" s="1"/>
      <c r="PC11" s="1" t="e">
        <f t="shared" ca="1" si="125"/>
        <v>#NAME?</v>
      </c>
      <c r="PD11" s="1" t="e">
        <f t="shared" ca="1" si="126"/>
        <v>#NAME?</v>
      </c>
      <c r="PE11" s="1"/>
      <c r="PF11" s="1" t="e">
        <f ca="1">IF($C11="",0,phi_i($OY$7,$OP$7,$OQ$7,O11,$PE$7,OZ11,$PB$7))</f>
        <v>#NAME?</v>
      </c>
      <c r="PG11" s="1" t="e">
        <f ca="1">IF($C11="",0,phi_i($OY$9,$OP$9,$OQ$9,O11,$PE$10,PA11,$PB$10))</f>
        <v>#NAME?</v>
      </c>
      <c r="PH11" s="1" t="e">
        <f t="shared" ca="1" si="127"/>
        <v>#NAME?</v>
      </c>
      <c r="PI11" s="1" t="e">
        <f t="shared" ca="1" si="128"/>
        <v>#NAME?</v>
      </c>
      <c r="PJ11" t="e">
        <f t="shared" ca="1" si="129"/>
        <v>#NAME?</v>
      </c>
      <c r="PL11" t="e">
        <f t="shared" ca="1" si="130"/>
        <v>#NAME?</v>
      </c>
      <c r="PN11" t="e">
        <f t="shared" ca="1" si="131"/>
        <v>#NAME?</v>
      </c>
      <c r="PO11" s="89" t="e">
        <f t="shared" ca="1" si="132"/>
        <v>#NAME?</v>
      </c>
      <c r="PP11" s="1"/>
      <c r="PQ11" s="1"/>
      <c r="PZ11" s="1" t="e">
        <f ca="1">IF($C11="","",psi_i(a_iVal2,x_iVal2,$A11,Kij_Val,BIPset,$AC$3,COUNTA(Chem2)))</f>
        <v>#NAME?</v>
      </c>
      <c r="QA11" s="1" t="e">
        <f ca="1">IF($C11="","",psi_i(a_iVal2,y_iVal18,$A11,Kij_Val,BIPset,$AC$3,COUNTA(Chem2)))</f>
        <v>#NAME?</v>
      </c>
      <c r="QB11" s="1"/>
      <c r="QC11" s="1" t="e">
        <f t="shared" ca="1" si="133"/>
        <v>#NAME?</v>
      </c>
      <c r="QD11" s="1" t="e">
        <f t="shared" ca="1" si="134"/>
        <v>#NAME?</v>
      </c>
      <c r="QE11" s="1"/>
      <c r="QF11" s="1" t="e">
        <f ca="1">IF($C11="",0,phi_i($PY$7,$PP$7,$PQ$7,O11,$QE$7,PZ11,$QB$7))</f>
        <v>#NAME?</v>
      </c>
      <c r="QG11" s="1" t="e">
        <f ca="1">IF($C11="",0,phi_i($PY$9,$PP$9,$PQ$9,O11,$QE$10,QA11,$QB$10))</f>
        <v>#NAME?</v>
      </c>
      <c r="QH11" s="1" t="e">
        <f t="shared" ca="1" si="135"/>
        <v>#NAME?</v>
      </c>
      <c r="QI11" s="1" t="e">
        <f t="shared" ca="1" si="136"/>
        <v>#NAME?</v>
      </c>
      <c r="QJ11" t="e">
        <f t="shared" ca="1" si="137"/>
        <v>#NAME?</v>
      </c>
      <c r="QL11" t="e">
        <f t="shared" ca="1" si="138"/>
        <v>#NAME?</v>
      </c>
      <c r="QN11" t="e">
        <f t="shared" ca="1" si="139"/>
        <v>#NAME?</v>
      </c>
      <c r="QO11" s="89" t="e">
        <f t="shared" ca="1" si="140"/>
        <v>#NAME?</v>
      </c>
    </row>
    <row r="12" spans="1:457">
      <c r="A12">
        <f t="shared" si="141"/>
        <v>6</v>
      </c>
      <c r="B12" s="18" t="str">
        <f>Wilson!B12</f>
        <v>MF Nitrogen (NC)</v>
      </c>
      <c r="C12" s="109">
        <f>Wilson!C12</f>
        <v>0.1</v>
      </c>
      <c r="D12" s="109" t="str">
        <f>Wilson!D12</f>
        <v>-</v>
      </c>
      <c r="E12" s="109">
        <f>Wilson!E12</f>
        <v>126.2</v>
      </c>
      <c r="F12" s="109">
        <f>Wilson!F12</f>
        <v>3390</v>
      </c>
      <c r="G12" s="109">
        <f>Wilson!G12</f>
        <v>0.28799999999999998</v>
      </c>
      <c r="H12" s="109">
        <f>Wilson!H12</f>
        <v>3.6999999999999998E-2</v>
      </c>
      <c r="I12" s="109">
        <f t="shared" si="1"/>
        <v>2.3771790808240887</v>
      </c>
      <c r="J12" s="113">
        <f t="shared" si="2"/>
        <v>0.1</v>
      </c>
      <c r="K12" s="113"/>
      <c r="L12" s="13" t="e">
        <f t="shared" ca="1" si="3"/>
        <v>#NAME?</v>
      </c>
      <c r="M12" s="1" t="e">
        <f t="shared" ca="1" si="4"/>
        <v>#NAME?</v>
      </c>
      <c r="N12" s="1" t="e">
        <f ca="1">a_i($E12,$F12)*alpha($H12,$I12)</f>
        <v>#NAME?</v>
      </c>
      <c r="O12" s="1" t="e">
        <f t="shared" ca="1" si="0"/>
        <v>#NAME?</v>
      </c>
      <c r="P12" s="1"/>
      <c r="Q12" s="1"/>
      <c r="Z12" s="1" t="e">
        <f ca="1">IF(C12="","",psi_i(a_iVal2,x_iVal2,A12,Kij_Val,BIPset,$AC$3,COUNTA(Chem2)))</f>
        <v>#NAME?</v>
      </c>
      <c r="AA12" s="1" t="e">
        <f ca="1">IF(C12="","",psi_i(a_iVal2,y_iVal2,A12,Kij_Val,BIPset,$AC$3,COUNTA(Chem2)))</f>
        <v>#NAME?</v>
      </c>
      <c r="AB12" s="1"/>
      <c r="AC12" s="1" t="e">
        <f t="shared" ca="1" si="5"/>
        <v>#NAME?</v>
      </c>
      <c r="AD12" s="1" t="e">
        <f t="shared" ca="1" si="6"/>
        <v>#NAME?</v>
      </c>
      <c r="AE12" s="1"/>
      <c r="AF12" s="1" t="e">
        <f ca="1">IF(C12="",0,phi_i($Y$7,$P$7,$Q$7,O12,$AE$7,Z12,$AB$7))</f>
        <v>#NAME?</v>
      </c>
      <c r="AG12" s="1" t="e">
        <f ca="1">IF(C12="",0,phi_i($Y$9,$P$9,$Q$9,O12,$AE$10,AA12,$AB$10))</f>
        <v>#NAME?</v>
      </c>
      <c r="AH12" s="1" t="e">
        <f t="shared" ca="1" si="7"/>
        <v>#NAME?</v>
      </c>
      <c r="AI12" s="1" t="e">
        <f t="shared" ca="1" si="8"/>
        <v>#NAME?</v>
      </c>
      <c r="AJ12" t="e">
        <f t="shared" ca="1" si="9"/>
        <v>#NAME?</v>
      </c>
      <c r="AL12" t="e">
        <f t="shared" ca="1" si="10"/>
        <v>#NAME?</v>
      </c>
      <c r="AN12" t="e">
        <f t="shared" ca="1" si="11"/>
        <v>#NAME?</v>
      </c>
      <c r="AO12" s="89" t="e">
        <f t="shared" ca="1" si="12"/>
        <v>#NAME?</v>
      </c>
      <c r="AP12" s="1"/>
      <c r="AQ12" s="1"/>
      <c r="AZ12" s="1" t="e">
        <f ca="1">IF($C12="","",psi_i(a_iVal2,x_iVal2,$A12,Kij_Val,BIPset,$AC$3,COUNTA(Chem2)))</f>
        <v>#NAME?</v>
      </c>
      <c r="BA12" s="1" t="e">
        <f ca="1">IF($C12="","",psi_i(a_iVal2,y_iVal3,$A12,Kij_Val,BIPset,$AC$3,COUNTA(Chem2)))</f>
        <v>#NAME?</v>
      </c>
      <c r="BB12" s="1"/>
      <c r="BC12" s="1" t="e">
        <f t="shared" ca="1" si="13"/>
        <v>#NAME?</v>
      </c>
      <c r="BD12" s="1" t="e">
        <f t="shared" ca="1" si="14"/>
        <v>#NAME?</v>
      </c>
      <c r="BE12" s="1"/>
      <c r="BF12" s="1" t="e">
        <f ca="1">IF($C12="",0,phi_i($AY$7,$AP$7,$AQ$7,O12,$BE$7,AZ12,$BB$7))</f>
        <v>#NAME?</v>
      </c>
      <c r="BG12" s="1" t="e">
        <f ca="1">IF(AC12="",0,phi_i($AY$9,$AP$9,$AQ$9,O12,$BE$10,BA12,$BB$10))</f>
        <v>#NAME?</v>
      </c>
      <c r="BH12" s="1" t="e">
        <f t="shared" ca="1" si="15"/>
        <v>#NAME?</v>
      </c>
      <c r="BI12" s="1" t="e">
        <f t="shared" ca="1" si="16"/>
        <v>#NAME?</v>
      </c>
      <c r="BJ12" t="e">
        <f t="shared" ca="1" si="17"/>
        <v>#NAME?</v>
      </c>
      <c r="BL12" t="e">
        <f t="shared" ca="1" si="18"/>
        <v>#NAME?</v>
      </c>
      <c r="BN12" t="e">
        <f t="shared" ca="1" si="19"/>
        <v>#NAME?</v>
      </c>
      <c r="BO12" s="89" t="e">
        <f t="shared" ca="1" si="20"/>
        <v>#NAME?</v>
      </c>
      <c r="BP12" s="1"/>
      <c r="BQ12" s="1"/>
      <c r="BZ12" s="1" t="e">
        <f ca="1">IF($C12="","",psi_i(a_iVal2,x_iVal2,$A12,Kij_Val,BIPset,$AC$3,COUNTA(Chem2)))</f>
        <v>#NAME?</v>
      </c>
      <c r="CA12" s="1" t="e">
        <f ca="1">IF($C12="","",psi_i(a_iVal2,y_iVal4,$A12,Kij_Val,BIPset,$AC$3,COUNTA(Chem2)))</f>
        <v>#NAME?</v>
      </c>
      <c r="CB12" s="1"/>
      <c r="CC12" s="1" t="e">
        <f t="shared" ca="1" si="21"/>
        <v>#NAME?</v>
      </c>
      <c r="CD12" s="1" t="e">
        <f t="shared" ca="1" si="22"/>
        <v>#NAME?</v>
      </c>
      <c r="CE12" s="1"/>
      <c r="CF12" s="1" t="e">
        <f ca="1">IF($C12="",0,phi_i($BY$7,$BP$7,$BQ$7,O12,$CE$7,BZ12,$CB$7))</f>
        <v>#NAME?</v>
      </c>
      <c r="CG12" s="1" t="e">
        <f ca="1">IF($C12="",0,phi_i($BY$9,$BP$9,$BQ$9,O12,$CE$10,$CA$7,$CB$10))</f>
        <v>#NAME?</v>
      </c>
      <c r="CH12" s="1" t="e">
        <f t="shared" ca="1" si="23"/>
        <v>#NAME?</v>
      </c>
      <c r="CI12" s="1" t="e">
        <f t="shared" ca="1" si="24"/>
        <v>#NAME?</v>
      </c>
      <c r="CJ12" t="e">
        <f t="shared" ca="1" si="25"/>
        <v>#NAME?</v>
      </c>
      <c r="CL12" t="e">
        <f t="shared" ca="1" si="26"/>
        <v>#NAME?</v>
      </c>
      <c r="CN12" t="e">
        <f t="shared" ca="1" si="27"/>
        <v>#NAME?</v>
      </c>
      <c r="CO12" s="89" t="e">
        <f t="shared" ca="1" si="28"/>
        <v>#NAME?</v>
      </c>
      <c r="CP12" s="1"/>
      <c r="CQ12" s="1"/>
      <c r="CZ12" s="1" t="e">
        <f ca="1">IF($C12="","",psi_i(a_iVal2,x_iVal2,$A12,Kij_Val,BIPset,$AC$3,COUNTA(Chem2)))</f>
        <v>#NAME?</v>
      </c>
      <c r="DA12" s="1" t="e">
        <f ca="1">IF($C12="","",psi_i(a_iVal2,y_iVal5,$A12,Kij_Val,BIPset,$AC$3,COUNTA(Chem2)))</f>
        <v>#NAME?</v>
      </c>
      <c r="DB12" s="1"/>
      <c r="DC12" s="1" t="e">
        <f t="shared" ca="1" si="29"/>
        <v>#NAME?</v>
      </c>
      <c r="DD12" s="1" t="e">
        <f t="shared" ca="1" si="30"/>
        <v>#NAME?</v>
      </c>
      <c r="DE12" s="1"/>
      <c r="DF12" s="1" t="e">
        <f ca="1">IF($C12="",0,phi_i($CY$7,$CP$7,$CQ$7,O12,$DE$7,CZ12,$DB$7))</f>
        <v>#NAME?</v>
      </c>
      <c r="DG12" s="1" t="e">
        <f ca="1">IF($C12="",0,phi_i($CY$9,$CP$9,$CQ$9,O12,$DE$10,DA12,$DB$10))</f>
        <v>#NAME?</v>
      </c>
      <c r="DH12" s="1" t="e">
        <f t="shared" ca="1" si="31"/>
        <v>#NAME?</v>
      </c>
      <c r="DI12" s="1" t="e">
        <f t="shared" ca="1" si="32"/>
        <v>#NAME?</v>
      </c>
      <c r="DJ12" t="e">
        <f t="shared" ca="1" si="33"/>
        <v>#NAME?</v>
      </c>
      <c r="DL12" t="e">
        <f t="shared" ca="1" si="34"/>
        <v>#NAME?</v>
      </c>
      <c r="DN12" t="e">
        <f t="shared" ca="1" si="35"/>
        <v>#NAME?</v>
      </c>
      <c r="DO12" s="89" t="e">
        <f t="shared" ca="1" si="36"/>
        <v>#NAME?</v>
      </c>
      <c r="DP12" s="1"/>
      <c r="DQ12" s="1"/>
      <c r="DZ12" s="1" t="e">
        <f ca="1">IF($C12="","",psi_i(a_iVal2,x_iVal2,$A12,Kij_Val,BIPset,$AC$3,COUNTA(Chem2)))</f>
        <v>#NAME?</v>
      </c>
      <c r="EA12" s="1" t="e">
        <f ca="1">IF($C12="","",psi_i(a_iVal2,y_iVal6,$A12,Kij_Val,BIPset,$AC$3,COUNTA(Chem2)))</f>
        <v>#NAME?</v>
      </c>
      <c r="EB12" s="1"/>
      <c r="EC12" s="1" t="e">
        <f t="shared" ca="1" si="37"/>
        <v>#NAME?</v>
      </c>
      <c r="ED12" s="1" t="e">
        <f t="shared" ca="1" si="38"/>
        <v>#NAME?</v>
      </c>
      <c r="EE12" s="1"/>
      <c r="EF12" s="1" t="e">
        <f ca="1">IF($C12="",0,phi_i($DY$7,$DP$7,$DQ$7,O12,$EE$7,DZ12,$EB$7))</f>
        <v>#NAME?</v>
      </c>
      <c r="EG12" s="1" t="e">
        <f ca="1">IF($C12="",0,phi_i($DY$9,$DP$9,$DQ$9,O12,$EE$10,EA12,$EB$10))</f>
        <v>#NAME?</v>
      </c>
      <c r="EH12" s="1" t="e">
        <f t="shared" ca="1" si="39"/>
        <v>#NAME?</v>
      </c>
      <c r="EI12" s="1" t="e">
        <f t="shared" ca="1" si="40"/>
        <v>#NAME?</v>
      </c>
      <c r="EJ12" t="e">
        <f t="shared" ca="1" si="41"/>
        <v>#NAME?</v>
      </c>
      <c r="EL12" t="e">
        <f t="shared" ca="1" si="42"/>
        <v>#NAME?</v>
      </c>
      <c r="EN12" t="e">
        <f t="shared" ca="1" si="43"/>
        <v>#NAME?</v>
      </c>
      <c r="EO12" s="89" t="e">
        <f t="shared" ca="1" si="44"/>
        <v>#NAME?</v>
      </c>
      <c r="EP12" s="1"/>
      <c r="EQ12" s="1"/>
      <c r="EZ12" s="1" t="e">
        <f ca="1">IF($C12="","",psi_i(a_iVal2,x_iVal2,$A12,Kij_Val,BIPset,$AC$3,COUNTA(Chem2)))</f>
        <v>#NAME?</v>
      </c>
      <c r="FA12" s="1" t="e">
        <f ca="1">IF($C12="","",psi_i(a_iVal2,y_iVal7,$A12,Kij_Val,BIPset,$AC$3,COUNTA(Chem2)))</f>
        <v>#NAME?</v>
      </c>
      <c r="FB12" s="1"/>
      <c r="FC12" s="1" t="e">
        <f t="shared" ca="1" si="45"/>
        <v>#NAME?</v>
      </c>
      <c r="FD12" s="1" t="e">
        <f t="shared" ca="1" si="46"/>
        <v>#NAME?</v>
      </c>
      <c r="FE12" s="1"/>
      <c r="FF12" s="1" t="e">
        <f ca="1">IF($C12="",0,phi_i($EY$7,$EP$7,$EQ$7,O12,$FE$7,EZ12,$FB$7))</f>
        <v>#NAME?</v>
      </c>
      <c r="FG12" s="1" t="e">
        <f ca="1">IF($C12="",0,phi_i($EY$9,$EP$9,$EQ$9,O12,$FE$10,FA12,$FB$10))</f>
        <v>#NAME?</v>
      </c>
      <c r="FH12" s="1" t="e">
        <f t="shared" ca="1" si="47"/>
        <v>#NAME?</v>
      </c>
      <c r="FI12" s="1" t="e">
        <f t="shared" ca="1" si="48"/>
        <v>#NAME?</v>
      </c>
      <c r="FJ12" t="e">
        <f t="shared" ca="1" si="49"/>
        <v>#NAME?</v>
      </c>
      <c r="FL12" t="e">
        <f t="shared" ca="1" si="50"/>
        <v>#NAME?</v>
      </c>
      <c r="FN12" t="e">
        <f t="shared" ca="1" si="51"/>
        <v>#NAME?</v>
      </c>
      <c r="FO12" s="89" t="e">
        <f t="shared" ca="1" si="52"/>
        <v>#NAME?</v>
      </c>
      <c r="FP12" s="1"/>
      <c r="FQ12" s="1"/>
      <c r="FZ12" s="1" t="e">
        <f ca="1">IF($C12="","",psi_i(a_iVal2,x_iVal2,$A12,Kij_Val,BIPset,$AC$3,COUNTA(Chem2)))</f>
        <v>#NAME?</v>
      </c>
      <c r="GA12" s="1" t="e">
        <f ca="1">IF($C12="","",psi_i(a_iVal2,y_iVal8,$A12,Kij_Val,BIPset,$AC$3,COUNTA(Chem2)))</f>
        <v>#NAME?</v>
      </c>
      <c r="GB12" s="1"/>
      <c r="GC12" s="1" t="e">
        <f t="shared" ca="1" si="53"/>
        <v>#NAME?</v>
      </c>
      <c r="GD12" s="1" t="e">
        <f t="shared" ca="1" si="54"/>
        <v>#NAME?</v>
      </c>
      <c r="GE12" s="1"/>
      <c r="GF12" s="1" t="e">
        <f ca="1">IF($C12="",0,phi_i($FY$7,$FP$7,$FQ$7,O12,$GE$7,FZ12,$GB$7))</f>
        <v>#NAME?</v>
      </c>
      <c r="GG12" s="1" t="e">
        <f ca="1">IF($C12="",0,phi_i($FY$9,$FP$9,$FQ$9,O12,$GE$10,GA12,$GB$10))</f>
        <v>#NAME?</v>
      </c>
      <c r="GH12" s="1" t="e">
        <f t="shared" ca="1" si="55"/>
        <v>#NAME?</v>
      </c>
      <c r="GI12" s="1" t="e">
        <f t="shared" ca="1" si="56"/>
        <v>#NAME?</v>
      </c>
      <c r="GJ12" t="e">
        <f t="shared" ca="1" si="57"/>
        <v>#NAME?</v>
      </c>
      <c r="GL12" t="e">
        <f t="shared" ca="1" si="58"/>
        <v>#NAME?</v>
      </c>
      <c r="GN12" t="e">
        <f t="shared" ca="1" si="59"/>
        <v>#NAME?</v>
      </c>
      <c r="GO12" s="89" t="e">
        <f t="shared" ca="1" si="60"/>
        <v>#NAME?</v>
      </c>
      <c r="GP12" s="1"/>
      <c r="GQ12" s="1"/>
      <c r="GZ12" s="1" t="e">
        <f ca="1">IF($C12="","",psi_i(a_iVal2,x_iVal2,$A12,Kij_Val,BIPset,$AC$3,COUNTA(Chem2)))</f>
        <v>#NAME?</v>
      </c>
      <c r="HA12" s="1" t="e">
        <f ca="1">IF($C12="","",psi_i(a_iVal2,y_iVal9,$A12,Kij_Val,BIPset,$AC$3,COUNTA(Chem2)))</f>
        <v>#NAME?</v>
      </c>
      <c r="HB12" s="1"/>
      <c r="HC12" s="1" t="e">
        <f t="shared" ca="1" si="61"/>
        <v>#NAME?</v>
      </c>
      <c r="HD12" s="1" t="e">
        <f t="shared" ca="1" si="62"/>
        <v>#NAME?</v>
      </c>
      <c r="HE12" s="1"/>
      <c r="HF12" s="1" t="e">
        <f ca="1">IF($C12="",0,phi_i($GY$7,$GP$7,$GQ$7,O12,$HE$7,GZ12,$HB$7))</f>
        <v>#NAME?</v>
      </c>
      <c r="HG12" s="1" t="e">
        <f ca="1">IF($C12="",0,phi_i($GY$9,$GP$9,$GQ$9,O12,$HE$10,HA12,$HB$10))</f>
        <v>#NAME?</v>
      </c>
      <c r="HH12" s="1" t="e">
        <f t="shared" ca="1" si="63"/>
        <v>#NAME?</v>
      </c>
      <c r="HI12" s="1" t="e">
        <f t="shared" ca="1" si="64"/>
        <v>#NAME?</v>
      </c>
      <c r="HJ12" t="e">
        <f t="shared" ca="1" si="65"/>
        <v>#NAME?</v>
      </c>
      <c r="HL12" t="e">
        <f t="shared" ca="1" si="66"/>
        <v>#NAME?</v>
      </c>
      <c r="HN12" t="e">
        <f t="shared" ca="1" si="67"/>
        <v>#NAME?</v>
      </c>
      <c r="HO12" s="89" t="e">
        <f t="shared" ca="1" si="68"/>
        <v>#NAME?</v>
      </c>
      <c r="HP12" s="1"/>
      <c r="HQ12" s="1"/>
      <c r="HZ12" s="1" t="e">
        <f ca="1">IF($C12="","",psi_i(a_iVal2,x_iVal2,$A12,Kij_Val,BIPset,$AC$3,COUNTA(Chem2)))</f>
        <v>#NAME?</v>
      </c>
      <c r="IA12" s="1" t="e">
        <f ca="1">IF($C12="","",psi_i(a_iVal2,y_iVal10,$A12,Kij_Val,BIPset,$AC$3,COUNTA(Chem2)))</f>
        <v>#NAME?</v>
      </c>
      <c r="IB12" s="1"/>
      <c r="IC12" s="1" t="e">
        <f t="shared" ca="1" si="69"/>
        <v>#NAME?</v>
      </c>
      <c r="ID12" s="1" t="e">
        <f t="shared" ca="1" si="70"/>
        <v>#NAME?</v>
      </c>
      <c r="IE12" s="1"/>
      <c r="IF12" s="1" t="e">
        <f ca="1">IF($C12="",0,phi_i($HY$7,$HP$7,$HQ$7,O12,$IE$7,HZ12,$IB$7))</f>
        <v>#NAME?</v>
      </c>
      <c r="IG12" s="1" t="e">
        <f ca="1">IF($C12="",0,phi_i($HY$9,$HP$9,$HQ$9,O12,$IE$10,IA12,$IB$10))</f>
        <v>#NAME?</v>
      </c>
      <c r="IH12" s="1" t="e">
        <f t="shared" ca="1" si="71"/>
        <v>#NAME?</v>
      </c>
      <c r="II12" s="1" t="e">
        <f t="shared" ca="1" si="72"/>
        <v>#NAME?</v>
      </c>
      <c r="IJ12" t="e">
        <f t="shared" ca="1" si="73"/>
        <v>#NAME?</v>
      </c>
      <c r="IL12" t="e">
        <f t="shared" ca="1" si="74"/>
        <v>#NAME?</v>
      </c>
      <c r="IN12" t="e">
        <f t="shared" ca="1" si="75"/>
        <v>#NAME?</v>
      </c>
      <c r="IO12" s="89" t="e">
        <f t="shared" ca="1" si="76"/>
        <v>#NAME?</v>
      </c>
      <c r="IP12" s="1"/>
      <c r="IQ12" s="1"/>
      <c r="IZ12" s="1" t="e">
        <f ca="1">IF($C12="","",psi_i(a_iVal2,x_iVal2,$A12,Kij_Val,BIPset,$AC$3,COUNTA(Chem2)))</f>
        <v>#NAME?</v>
      </c>
      <c r="JA12" s="1" t="e">
        <f ca="1">IF($C12="","",psi_i(a_iVal2,y_iVal10,$A12,Kij_Val,BIPset,$AC$3,COUNTA(Chem2)))</f>
        <v>#NAME?</v>
      </c>
      <c r="JB12" s="1"/>
      <c r="JC12" s="1" t="e">
        <f t="shared" ca="1" si="77"/>
        <v>#NAME?</v>
      </c>
      <c r="JD12" s="1" t="e">
        <f t="shared" ca="1" si="78"/>
        <v>#NAME?</v>
      </c>
      <c r="JE12" s="1"/>
      <c r="JF12" s="1" t="e">
        <f ca="1">IF($C12="",0,phi_i($IY$7,$IP$7,$IQ$7,O12,$JE$7,IZ12,$JB$7))</f>
        <v>#NAME?</v>
      </c>
      <c r="JG12" s="1" t="e">
        <f ca="1">IF($C12="",0,phi_i($IY$9,$IP$9,$IQ$9,O12,$JE$10,JA12,$JB$10))</f>
        <v>#NAME?</v>
      </c>
      <c r="JH12" s="1" t="e">
        <f t="shared" ca="1" si="79"/>
        <v>#NAME?</v>
      </c>
      <c r="JI12" s="1" t="e">
        <f t="shared" ca="1" si="80"/>
        <v>#NAME?</v>
      </c>
      <c r="JJ12" t="e">
        <f t="shared" ca="1" si="81"/>
        <v>#NAME?</v>
      </c>
      <c r="JL12" t="e">
        <f t="shared" ca="1" si="82"/>
        <v>#NAME?</v>
      </c>
      <c r="JN12" t="e">
        <f t="shared" ca="1" si="83"/>
        <v>#NAME?</v>
      </c>
      <c r="JO12" s="89" t="e">
        <f t="shared" ca="1" si="84"/>
        <v>#NAME?</v>
      </c>
      <c r="JP12" s="1"/>
      <c r="JQ12" s="1"/>
      <c r="JZ12" s="1" t="e">
        <f ca="1">IF($C12="","",psi_i(a_iVal2,x_iVal2,$A12,Kij_Val,BIPset,$AC$3,COUNTA(Chem2)))</f>
        <v>#NAME?</v>
      </c>
      <c r="KA12" s="1" t="e">
        <f ca="1">IF($C12="","",psi_i(a_iVal2,y_iVal12,$A12,Kij_Val,BIPset,$AC$3,COUNTA(Chem2)))</f>
        <v>#NAME?</v>
      </c>
      <c r="KB12" s="1"/>
      <c r="KC12" s="1" t="e">
        <f t="shared" ca="1" si="85"/>
        <v>#NAME?</v>
      </c>
      <c r="KD12" s="1" t="e">
        <f t="shared" ca="1" si="86"/>
        <v>#NAME?</v>
      </c>
      <c r="KE12" s="1"/>
      <c r="KF12" s="1" t="e">
        <f ca="1">IF($C12="",0,phi_i($JY$7,$JP$7,$JQ$7,O12,$KE$7,JZ12,$KB$7))</f>
        <v>#NAME?</v>
      </c>
      <c r="KG12" s="1" t="e">
        <f ca="1">IF($C12="",0,phi_i($JY$9,$JP$9,$JQ$9,O12,$KE$10,KA12,$KB$10))</f>
        <v>#NAME?</v>
      </c>
      <c r="KH12" s="1" t="e">
        <f t="shared" ca="1" si="87"/>
        <v>#NAME?</v>
      </c>
      <c r="KI12" s="1" t="e">
        <f t="shared" ca="1" si="88"/>
        <v>#NAME?</v>
      </c>
      <c r="KJ12" t="e">
        <f t="shared" ca="1" si="89"/>
        <v>#NAME?</v>
      </c>
      <c r="KL12" t="e">
        <f t="shared" ca="1" si="90"/>
        <v>#NAME?</v>
      </c>
      <c r="KN12" t="e">
        <f t="shared" ca="1" si="91"/>
        <v>#NAME?</v>
      </c>
      <c r="KO12" s="89" t="e">
        <f t="shared" ca="1" si="92"/>
        <v>#NAME?</v>
      </c>
      <c r="KP12" s="1"/>
      <c r="KQ12" s="1"/>
      <c r="KZ12" s="1" t="e">
        <f ca="1">IF($C12="","",psi_i(a_iVal2,x_iVal2,$A12,Kij_Val,BIPset,$AC$3,COUNTA(Chem2)))</f>
        <v>#NAME?</v>
      </c>
      <c r="LA12" s="1" t="e">
        <f ca="1">IF($C12="","",psi_i(a_iVal2,y_iVal13,$A12,Kij_Val,BIPset,$AC$3,COUNTA(Chem2)))</f>
        <v>#NAME?</v>
      </c>
      <c r="LB12" s="1"/>
      <c r="LC12" s="1" t="e">
        <f t="shared" ca="1" si="93"/>
        <v>#NAME?</v>
      </c>
      <c r="LD12" s="1" t="e">
        <f t="shared" ca="1" si="94"/>
        <v>#NAME?</v>
      </c>
      <c r="LE12" s="1"/>
      <c r="LF12" s="1" t="e">
        <f ca="1">IF($C12="",0,phi_i($KY$7,$KP$7,$KQ$7,O12,$LE$7,KZ12,$LB$7))</f>
        <v>#NAME?</v>
      </c>
      <c r="LG12" s="1" t="e">
        <f ca="1">IF($C12="",0,phi_i($KY$9,$KP$9,$KQ$9,O12,$LE$10,LA12,$LB$10))</f>
        <v>#NAME?</v>
      </c>
      <c r="LH12" s="1" t="e">
        <f t="shared" ca="1" si="95"/>
        <v>#NAME?</v>
      </c>
      <c r="LI12" s="1" t="e">
        <f t="shared" ca="1" si="96"/>
        <v>#NAME?</v>
      </c>
      <c r="LJ12" t="e">
        <f t="shared" ca="1" si="97"/>
        <v>#NAME?</v>
      </c>
      <c r="LL12" t="e">
        <f t="shared" ca="1" si="98"/>
        <v>#NAME?</v>
      </c>
      <c r="LN12" t="e">
        <f t="shared" ca="1" si="99"/>
        <v>#NAME?</v>
      </c>
      <c r="LO12" s="89" t="e">
        <f t="shared" ca="1" si="100"/>
        <v>#NAME?</v>
      </c>
      <c r="LP12" s="1"/>
      <c r="LQ12" s="1"/>
      <c r="LZ12" s="1" t="e">
        <f ca="1">IF($C12="","",psi_i(a_iVal2,x_iVal2,$A12,Kij_Val,BIPset,$AC$3,COUNTA(Chem2)))</f>
        <v>#NAME?</v>
      </c>
      <c r="MA12" s="1" t="e">
        <f ca="1">IF($C12="","",psi_i(a_iVal2,y_iVal14,$A12,Kij_Val,BIPset,$AC$3,COUNTA(Chem2)))</f>
        <v>#NAME?</v>
      </c>
      <c r="MB12" s="1"/>
      <c r="MC12" s="1" t="e">
        <f t="shared" ca="1" si="101"/>
        <v>#NAME?</v>
      </c>
      <c r="MD12" s="1" t="e">
        <f t="shared" ca="1" si="102"/>
        <v>#NAME?</v>
      </c>
      <c r="ME12" s="1"/>
      <c r="MF12" s="1" t="e">
        <f ca="1">IF($C12="",0,phi_i($LY$7,$LP$7,$LQ$7,O12,$ME$7,LZ12,$MB$7))</f>
        <v>#NAME?</v>
      </c>
      <c r="MG12" s="1" t="e">
        <f ca="1">IF($C12="",0,phi_i($LY$9,$LP$9,$LQ$9,O12,$ME$10,MA12,$MB$10))</f>
        <v>#NAME?</v>
      </c>
      <c r="MH12" s="1" t="e">
        <f t="shared" ca="1" si="103"/>
        <v>#NAME?</v>
      </c>
      <c r="MI12" s="1" t="e">
        <f t="shared" ca="1" si="104"/>
        <v>#NAME?</v>
      </c>
      <c r="MJ12" t="e">
        <f t="shared" ca="1" si="105"/>
        <v>#NAME?</v>
      </c>
      <c r="ML12" t="e">
        <f t="shared" ca="1" si="106"/>
        <v>#NAME?</v>
      </c>
      <c r="MN12" t="e">
        <f t="shared" ca="1" si="107"/>
        <v>#NAME?</v>
      </c>
      <c r="MO12" s="89" t="e">
        <f t="shared" ca="1" si="108"/>
        <v>#NAME?</v>
      </c>
      <c r="MP12" s="1"/>
      <c r="MQ12" s="1"/>
      <c r="MZ12" s="1" t="e">
        <f ca="1">IF($C12="","",psi_i(a_iVal2,x_iVal2,$A12,Kij_Val,BIPset,$AC$3,COUNTA(Chem2)))</f>
        <v>#NAME?</v>
      </c>
      <c r="NA12" s="1" t="e">
        <f ca="1">IF($C12="","",psi_i(a_iVal2,y_iVal15,$A12,Kij_Val,BIPset,$AC$3,COUNTA(Chem2)))</f>
        <v>#NAME?</v>
      </c>
      <c r="NB12" s="1"/>
      <c r="NC12" s="1" t="e">
        <f t="shared" ca="1" si="109"/>
        <v>#NAME?</v>
      </c>
      <c r="ND12" s="1" t="e">
        <f t="shared" ca="1" si="110"/>
        <v>#NAME?</v>
      </c>
      <c r="NE12" s="1"/>
      <c r="NF12" s="1" t="e">
        <f ca="1">IF($C12="",0,phi_i($MY$7,$MP$7,$MQ$7,O12,$NE$7,MZ12,$NB$7))</f>
        <v>#NAME?</v>
      </c>
      <c r="NG12" s="1" t="e">
        <f ca="1">IF($C12="",0,phi_i($MY$9,$MP$9,$MQ$9,O12,$NE$10,NA12,$NB$10))</f>
        <v>#NAME?</v>
      </c>
      <c r="NH12" s="1" t="e">
        <f t="shared" ca="1" si="111"/>
        <v>#NAME?</v>
      </c>
      <c r="NI12" s="1" t="e">
        <f t="shared" ca="1" si="112"/>
        <v>#NAME?</v>
      </c>
      <c r="NJ12" t="e">
        <f t="shared" ca="1" si="113"/>
        <v>#NAME?</v>
      </c>
      <c r="NL12" t="e">
        <f t="shared" ca="1" si="114"/>
        <v>#NAME?</v>
      </c>
      <c r="NN12" t="e">
        <f t="shared" ca="1" si="115"/>
        <v>#NAME?</v>
      </c>
      <c r="NO12" s="89" t="e">
        <f t="shared" ca="1" si="116"/>
        <v>#NAME?</v>
      </c>
      <c r="NP12" s="1"/>
      <c r="NQ12" s="1"/>
      <c r="NZ12" s="1" t="e">
        <f ca="1">IF($C12="","",psi_i(a_iVal2,x_iVal2,$A12,Kij_Val,BIPset,$AC$3,COUNTA(Chem2)))</f>
        <v>#NAME?</v>
      </c>
      <c r="OA12" s="1" t="e">
        <f ca="1">IF($C12="","",psi_i(a_iVal2,y_iVal16,$A12,Kij_Val,BIPset,$AC$3,COUNTA(Chem2)))</f>
        <v>#NAME?</v>
      </c>
      <c r="OB12" s="1"/>
      <c r="OC12" s="1" t="e">
        <f t="shared" ca="1" si="117"/>
        <v>#NAME?</v>
      </c>
      <c r="OD12" s="1" t="e">
        <f t="shared" ca="1" si="118"/>
        <v>#NAME?</v>
      </c>
      <c r="OE12" s="1"/>
      <c r="OF12" s="1" t="e">
        <f ca="1">IF($C12="",0,phi_i($NY$7,$NP$7,$NQ$7,O12,$OE$7,NZ12,$OB$7))</f>
        <v>#NAME?</v>
      </c>
      <c r="OG12" s="1" t="e">
        <f ca="1">IF($C12="",0,phi_i($NY$9,$NP$9,$NQ$9,O12,$OE$10,OA12,$OB$10))</f>
        <v>#NAME?</v>
      </c>
      <c r="OH12" s="1" t="e">
        <f t="shared" ca="1" si="119"/>
        <v>#NAME?</v>
      </c>
      <c r="OI12" s="1" t="e">
        <f t="shared" ca="1" si="120"/>
        <v>#NAME?</v>
      </c>
      <c r="OJ12" t="e">
        <f t="shared" ca="1" si="121"/>
        <v>#NAME?</v>
      </c>
      <c r="OL12" t="e">
        <f t="shared" ca="1" si="122"/>
        <v>#NAME?</v>
      </c>
      <c r="ON12" t="e">
        <f t="shared" ca="1" si="123"/>
        <v>#NAME?</v>
      </c>
      <c r="OO12" s="89" t="e">
        <f t="shared" ca="1" si="124"/>
        <v>#NAME?</v>
      </c>
      <c r="OP12" s="1"/>
      <c r="OQ12" s="1"/>
      <c r="OZ12" s="1" t="e">
        <f ca="1">IF($C12="","",psi_i(a_iVal2,x_iVal2,$A12,Kij_Val,BIPset,$AC$3,COUNTA(Chem2)))</f>
        <v>#NAME?</v>
      </c>
      <c r="PA12" s="1" t="e">
        <f ca="1">IF($C12="","",psi_i(a_iVal2,y_iVal17,$A12,Kij_Val,BIPset,$AC$3,COUNTA(Chem2)))</f>
        <v>#NAME?</v>
      </c>
      <c r="PB12" s="1"/>
      <c r="PC12" s="1" t="e">
        <f t="shared" ca="1" si="125"/>
        <v>#NAME?</v>
      </c>
      <c r="PD12" s="1" t="e">
        <f t="shared" ca="1" si="126"/>
        <v>#NAME?</v>
      </c>
      <c r="PE12" s="1"/>
      <c r="PF12" s="1" t="e">
        <f ca="1">IF($C12="",0,phi_i($OY$7,$OP$7,$OQ$7,O12,$PE$7,OZ12,$PB$7))</f>
        <v>#NAME?</v>
      </c>
      <c r="PG12" s="1" t="e">
        <f ca="1">IF($C12="",0,phi_i($OY$9,$OP$9,$OQ$9,O12,$PE$10,PA12,$PB$10))</f>
        <v>#NAME?</v>
      </c>
      <c r="PH12" s="1" t="e">
        <f t="shared" ca="1" si="127"/>
        <v>#NAME?</v>
      </c>
      <c r="PI12" s="1" t="e">
        <f t="shared" ca="1" si="128"/>
        <v>#NAME?</v>
      </c>
      <c r="PJ12" t="e">
        <f t="shared" ca="1" si="129"/>
        <v>#NAME?</v>
      </c>
      <c r="PL12" t="e">
        <f t="shared" ca="1" si="130"/>
        <v>#NAME?</v>
      </c>
      <c r="PN12" t="e">
        <f t="shared" ca="1" si="131"/>
        <v>#NAME?</v>
      </c>
      <c r="PO12" s="89" t="e">
        <f t="shared" ca="1" si="132"/>
        <v>#NAME?</v>
      </c>
      <c r="PP12" s="1"/>
      <c r="PQ12" s="1"/>
      <c r="PZ12" s="1" t="e">
        <f ca="1">IF($C12="","",psi_i(a_iVal2,x_iVal2,$A12,Kij_Val,BIPset,$AC$3,COUNTA(Chem2)))</f>
        <v>#NAME?</v>
      </c>
      <c r="QA12" s="1" t="e">
        <f ca="1">IF($C12="","",psi_i(a_iVal2,y_iVal18,$A12,Kij_Val,BIPset,$AC$3,COUNTA(Chem2)))</f>
        <v>#NAME?</v>
      </c>
      <c r="QB12" s="1"/>
      <c r="QC12" s="1" t="e">
        <f t="shared" ca="1" si="133"/>
        <v>#NAME?</v>
      </c>
      <c r="QD12" s="1" t="e">
        <f t="shared" ca="1" si="134"/>
        <v>#NAME?</v>
      </c>
      <c r="QE12" s="1"/>
      <c r="QF12" s="1" t="e">
        <f ca="1">IF($C12="",0,phi_i($PY$7,$PP$7,$PQ$7,O12,$QE$7,PZ12,$QB$7))</f>
        <v>#NAME?</v>
      </c>
      <c r="QG12" s="1" t="e">
        <f ca="1">IF($C12="",0,phi_i($PY$9,$PP$9,$PQ$9,O12,$QE$10,QA12,$QB$10))</f>
        <v>#NAME?</v>
      </c>
      <c r="QH12" s="1" t="e">
        <f t="shared" ca="1" si="135"/>
        <v>#NAME?</v>
      </c>
      <c r="QI12" s="1" t="e">
        <f t="shared" ca="1" si="136"/>
        <v>#NAME?</v>
      </c>
      <c r="QJ12" t="e">
        <f t="shared" ca="1" si="137"/>
        <v>#NAME?</v>
      </c>
      <c r="QL12" t="e">
        <f t="shared" ca="1" si="138"/>
        <v>#NAME?</v>
      </c>
      <c r="QN12" t="e">
        <f t="shared" ca="1" si="139"/>
        <v>#NAME?</v>
      </c>
      <c r="QO12" s="89" t="e">
        <f t="shared" ca="1" si="140"/>
        <v>#NAME?</v>
      </c>
    </row>
    <row r="13" spans="1:457">
      <c r="A13">
        <f t="shared" si="141"/>
        <v>7</v>
      </c>
      <c r="B13" s="119"/>
      <c r="C13" s="119"/>
      <c r="D13" s="119"/>
      <c r="AO13" s="89"/>
      <c r="BO13" s="89">
        <f t="shared" si="20"/>
        <v>0</v>
      </c>
      <c r="CZ13" s="1" t="str">
        <f>IF($C13="","",psi_i(a_iVal2,x_iVal2,$A13,Kij_Val,BIPset,$AC$3,COUNTA(Chem2)))</f>
        <v/>
      </c>
      <c r="DA13" s="1" t="str">
        <f>IF($C13="","",psi_i(a_iVal2,y_iVal5,$A13,Kij_Val,BIPset,$AC$3,COUNTA(Chem2)))</f>
        <v/>
      </c>
      <c r="DF13" s="1">
        <f>IF($C13="",0,phi_i($CY$7,$CP$7,$CQ$7,O13,$DE$7,CZ13,$DB$7))</f>
        <v>0</v>
      </c>
      <c r="DG13" s="1">
        <f>IF($C13="",0,phi_i($CY$9,$CP$9,$CQ$9,O13,$DE$10,DA13,$DB$10))</f>
        <v>0</v>
      </c>
      <c r="DH13" s="1" t="e">
        <f t="shared" ca="1" si="31"/>
        <v>#NAME?</v>
      </c>
      <c r="DI13" s="1" t="e">
        <f t="shared" ca="1" si="32"/>
        <v>#NAME?</v>
      </c>
      <c r="DZ13" s="1" t="str">
        <f>IF($C13="","",psi_i(a_iVal2,x_iVal2,$A13,Kij_Val,BIPset,$AC$3,COUNTA(Chem2)))</f>
        <v/>
      </c>
      <c r="EA13" s="1" t="str">
        <f>IF($C13="","",psi_i(a_iVal2,y_iVal6,$A13,Kij_Val,BIPset,$AC$3,COUNTA(Chem2)))</f>
        <v/>
      </c>
      <c r="EF13" s="1">
        <f>IF($C13="",0,phi_i($DY$7,$DP$7,$DQ$7,O13,$EE$7,DZ13,$EB$7))</f>
        <v>0</v>
      </c>
      <c r="EG13" s="1">
        <f>IF($C13="",0,phi_i($DY$9,$DP$9,$DQ$9,O13,$EE$10,EA13,$EB$10))</f>
        <v>0</v>
      </c>
      <c r="EH13" s="1" t="e">
        <f t="shared" ca="1" si="39"/>
        <v>#NAME?</v>
      </c>
      <c r="EI13" s="1" t="e">
        <f t="shared" ca="1" si="40"/>
        <v>#NAME?</v>
      </c>
      <c r="EO13" s="89">
        <f t="shared" si="44"/>
        <v>0</v>
      </c>
      <c r="EZ13" s="1" t="str">
        <f>IF($C13="","",psi_i(a_iVal2,x_iVal2,$A13,Kij_Val,BIPset,$AC$3,COUNTA(Chem2)))</f>
        <v/>
      </c>
      <c r="FA13" s="1" t="str">
        <f>IF($C13="","",psi_i(a_iVal2,y_iVal7,$A13,Kij_Val,BIPset,$AC$3,COUNTA(Chem2)))</f>
        <v/>
      </c>
      <c r="FF13" s="1">
        <f>IF($C13="",0,phi_i($EY$7,$EP$7,$EQ$7,O13,$FE$7,EZ13,$FB$7))</f>
        <v>0</v>
      </c>
      <c r="FG13" s="1">
        <f>IF($C13="",0,phi_i($EY$9,$EP$9,$EQ$9,O13,$FE$10,FA13,$FB$10))</f>
        <v>0</v>
      </c>
      <c r="FH13" s="1" t="e">
        <f t="shared" ca="1" si="47"/>
        <v>#NAME?</v>
      </c>
      <c r="FI13" s="1" t="e">
        <f t="shared" ca="1" si="48"/>
        <v>#NAME?</v>
      </c>
      <c r="FZ13" s="1" t="str">
        <f>IF($C13="","",psi_i(a_iVal2,x_iVal2,$A13,Kij_Val,BIPset,$AC$3,COUNTA(Chem2)))</f>
        <v/>
      </c>
      <c r="GA13" s="1" t="str">
        <f>IF($C13="","",psi_i(a_iVal2,y_iVal8,$A13,Kij_Val,BIPset,$AC$3,COUNTA(Chem2)))</f>
        <v/>
      </c>
      <c r="GF13" s="1">
        <f>IF($C13="",0,phi_i($FY$7,$FP$7,$FQ$7,O13,$GE$7,FZ13,$GB$7))</f>
        <v>0</v>
      </c>
      <c r="GG13" s="1">
        <f>IF($C13="",0,phi_i($FY$9,$FP$9,$FQ$9,O13,$GE$10,GA13,$GB$10))</f>
        <v>0</v>
      </c>
      <c r="GH13" s="1" t="e">
        <f t="shared" ca="1" si="55"/>
        <v>#NAME?</v>
      </c>
      <c r="GI13" s="1" t="e">
        <f t="shared" ca="1" si="56"/>
        <v>#NAME?</v>
      </c>
      <c r="GO13" s="89">
        <f t="shared" si="60"/>
        <v>0</v>
      </c>
      <c r="GZ13" s="1" t="str">
        <f>IF($C13="","",psi_i(a_iVal2,x_iVal2,$A13,Kij_Val,BIPset,$AC$3,COUNTA(Chem2)))</f>
        <v/>
      </c>
      <c r="HA13" s="1" t="str">
        <f>IF($C13="","",psi_i(a_iVal2,y_iVal9,$A13,Kij_Val,BIPset,$AC$3,COUNTA(Chem2)))</f>
        <v/>
      </c>
      <c r="HF13" s="1">
        <f>IF($C13="",0,phi_i($GY$7,$GP$7,$GQ$7,O13,$HE$7,GZ13,$HB$7))</f>
        <v>0</v>
      </c>
      <c r="HG13" s="1">
        <f>IF($C13="",0,phi_i($GY$9,$GP$9,$GQ$9,O13,$HE$10,HA13,$HB$10))</f>
        <v>0</v>
      </c>
      <c r="HH13" s="1" t="e">
        <f t="shared" ca="1" si="63"/>
        <v>#NAME?</v>
      </c>
      <c r="HI13" s="1" t="e">
        <f t="shared" ca="1" si="64"/>
        <v>#NAME?</v>
      </c>
      <c r="HO13" s="89">
        <f t="shared" si="68"/>
        <v>0</v>
      </c>
      <c r="HZ13" s="1" t="str">
        <f>IF($C13="","",psi_i(a_iVal2,x_iVal2,$A13,Kij_Val,BIPset,$AC$3,COUNTA(Chem2)))</f>
        <v/>
      </c>
      <c r="IA13" s="1" t="str">
        <f>IF($C13="","",psi_i(a_iVal2,y_iVal10,$A13,Kij_Val,BIPset,$AC$3,COUNTA(Chem2)))</f>
        <v/>
      </c>
      <c r="IF13" s="1">
        <f>IF($C13="",0,phi_i($HY$7,$HP$7,$HQ$7,O13,$IE$7,HZ13,$IB$7))</f>
        <v>0</v>
      </c>
      <c r="IG13" s="1">
        <f>IF($C13="",0,phi_i($HY$9,$HP$9,$HQ$9,O13,$IE$10,IA13,$IB$10))</f>
        <v>0</v>
      </c>
      <c r="IH13" s="1" t="e">
        <f t="shared" ca="1" si="71"/>
        <v>#NAME?</v>
      </c>
      <c r="II13" s="1" t="e">
        <f t="shared" ca="1" si="72"/>
        <v>#NAME?</v>
      </c>
      <c r="IO13" s="89">
        <f t="shared" si="76"/>
        <v>0</v>
      </c>
      <c r="IZ13" s="1" t="str">
        <f>IF($C13="","",psi_i(a_iVal2,x_iVal2,$A13,Kij_Val,BIPset,$AC$3,COUNTA(Chem2)))</f>
        <v/>
      </c>
      <c r="JA13" s="1" t="str">
        <f>IF($C13="","",psi_i(a_iVal2,y_iVal10,$A13,Kij_Val,BIPset,$AC$3,COUNTA(Chem2)))</f>
        <v/>
      </c>
      <c r="JF13" s="1">
        <f>IF($C13="",0,phi_i($IY$7,$IP$7,$IQ$7,O13,$JE$7,IZ13,$JB$7))</f>
        <v>0</v>
      </c>
      <c r="JG13" s="1">
        <f>IF($C13="",0,phi_i($IY$9,$IP$9,$IQ$9,O13,$JE$10,JA13,$JB$10))</f>
        <v>0</v>
      </c>
      <c r="JH13" s="1" t="e">
        <f t="shared" ca="1" si="79"/>
        <v>#NAME?</v>
      </c>
      <c r="JI13" s="1" t="e">
        <f t="shared" ca="1" si="80"/>
        <v>#NAME?</v>
      </c>
      <c r="JO13" s="89">
        <f t="shared" si="84"/>
        <v>0</v>
      </c>
      <c r="JZ13" s="1" t="str">
        <f>IF($C13="","",psi_i(a_iVal2,x_iVal2,$A13,Kij_Val,BIPset,$AC$3,COUNTA(Chem2)))</f>
        <v/>
      </c>
      <c r="KA13" s="1" t="str">
        <f>IF($C13="","",psi_i(a_iVal2,y_iVal12,$A13,Kij_Val,BIPset,$AC$3,COUNTA(Chem2)))</f>
        <v/>
      </c>
      <c r="KF13" s="1">
        <f>IF($C13="",0,phi_i($JY$7,$JP$7,$JQ$7,O13,$KE$7,JZ13,$KB$7))</f>
        <v>0</v>
      </c>
      <c r="KG13" s="1">
        <f>IF($C13="",0,phi_i($JY$9,$JP$9,$JQ$9,O13,$KE$10,KA13,$KB$10))</f>
        <v>0</v>
      </c>
      <c r="KH13" s="1" t="e">
        <f t="shared" ca="1" si="87"/>
        <v>#NAME?</v>
      </c>
      <c r="KI13" s="1" t="e">
        <f t="shared" ca="1" si="88"/>
        <v>#NAME?</v>
      </c>
      <c r="KO13" s="89">
        <f t="shared" si="92"/>
        <v>0</v>
      </c>
      <c r="KZ13" s="1" t="str">
        <f>IF($C13="","",psi_i(a_iVal2,x_iVal2,$A13,Kij_Val,BIPset,$AC$3,COUNTA(Chem2)))</f>
        <v/>
      </c>
      <c r="LA13" s="1" t="str">
        <f>IF($C13="","",psi_i(a_iVal2,y_iVal13,$A13,Kij_Val,BIPset,$AC$3,COUNTA(Chem2)))</f>
        <v/>
      </c>
      <c r="LF13" s="1">
        <f>IF($C13="",0,phi_i($KY$7,$KP$7,$KQ$7,O13,$LE$7,KZ13,$LB$7))</f>
        <v>0</v>
      </c>
      <c r="LG13" s="1">
        <f>IF($C13="",0,phi_i($KY$9,$KP$9,$KQ$9,O13,$LE$10,LA13,$LB$10))</f>
        <v>0</v>
      </c>
      <c r="LH13" s="1" t="e">
        <f t="shared" ca="1" si="95"/>
        <v>#NAME?</v>
      </c>
      <c r="LI13" s="1" t="e">
        <f t="shared" ca="1" si="96"/>
        <v>#NAME?</v>
      </c>
      <c r="LO13" s="89">
        <f t="shared" si="100"/>
        <v>0</v>
      </c>
      <c r="LZ13" s="1" t="str">
        <f>IF($C13="","",psi_i(a_iVal2,x_iVal2,$A13,Kij_Val,BIPset,$AC$3,COUNTA(Chem2)))</f>
        <v/>
      </c>
      <c r="MA13" s="1" t="str">
        <f>IF($C13="","",psi_i(a_iVal2,y_iVal14,$A13,Kij_Val,BIPset,$AC$3,COUNTA(Chem2)))</f>
        <v/>
      </c>
      <c r="MF13" s="1">
        <f>IF($C13="",0,phi_i($LY$7,$LP$7,$LQ$7,O13,$ME$7,LZ13,$MB$7))</f>
        <v>0</v>
      </c>
      <c r="MG13" s="1">
        <f>IF($C13="",0,phi_i($LY$9,$LP$9,$LQ$9,O13,$ME$10,MA13,$MB$10))</f>
        <v>0</v>
      </c>
      <c r="MH13" s="1" t="e">
        <f t="shared" ca="1" si="103"/>
        <v>#NAME?</v>
      </c>
      <c r="MI13" s="1" t="e">
        <f t="shared" ca="1" si="104"/>
        <v>#NAME?</v>
      </c>
      <c r="MO13" s="89">
        <f t="shared" si="108"/>
        <v>0</v>
      </c>
      <c r="MZ13" s="1" t="str">
        <f>IF($C13="","",psi_i(a_iVal2,x_iVal2,$A13,Kij_Val,BIPset,$AC$3,COUNTA(Chem2)))</f>
        <v/>
      </c>
      <c r="NA13" s="1" t="str">
        <f>IF($C13="","",psi_i(a_iVal2,y_iVal15,$A13,Kij_Val,BIPset,$AC$3,COUNTA(Chem2)))</f>
        <v/>
      </c>
      <c r="NF13" s="1">
        <f>IF($C13="",0,phi_i($MY$7,$MP$7,$MQ$7,O13,$NE$7,MZ13,$NB$7))</f>
        <v>0</v>
      </c>
      <c r="NG13" s="1">
        <f>IF($C13="",0,phi_i($MY$9,$MP$9,$MQ$9,O13,$NE$10,NA13,$NB$10))</f>
        <v>0</v>
      </c>
      <c r="NH13" s="1" t="e">
        <f t="shared" ca="1" si="111"/>
        <v>#NAME?</v>
      </c>
      <c r="NI13" s="1" t="e">
        <f t="shared" ca="1" si="112"/>
        <v>#NAME?</v>
      </c>
      <c r="NO13" s="89">
        <f t="shared" si="116"/>
        <v>0</v>
      </c>
      <c r="NZ13" s="1" t="str">
        <f>IF($C13="","",psi_i(a_iVal2,x_iVal2,$A13,Kij_Val,BIPset,$AC$3,COUNTA(Chem2)))</f>
        <v/>
      </c>
      <c r="OA13" s="1" t="str">
        <f>IF($C13="","",psi_i(a_iVal2,y_iVal16,$A13,Kij_Val,BIPset,$AC$3,COUNTA(Chem2)))</f>
        <v/>
      </c>
      <c r="OF13" s="1">
        <f>IF($C13="",0,phi_i($NY$7,$NP$7,$NQ$7,O13,$OE$7,NZ13,$OB$7))</f>
        <v>0</v>
      </c>
      <c r="OG13" s="1">
        <f>IF($C13="",0,phi_i($NY$9,$NP$9,$NQ$9,O13,$OE$10,OA13,$OB$10))</f>
        <v>0</v>
      </c>
      <c r="OH13" s="1" t="e">
        <f t="shared" ca="1" si="119"/>
        <v>#NAME?</v>
      </c>
      <c r="OI13" s="1" t="e">
        <f t="shared" ca="1" si="120"/>
        <v>#NAME?</v>
      </c>
      <c r="OO13" s="89">
        <f t="shared" si="124"/>
        <v>0</v>
      </c>
      <c r="OZ13" s="1" t="str">
        <f>IF($C13="","",psi_i(a_iVal2,x_iVal2,$A13,Kij_Val,BIPset,$AC$3,COUNTA(Chem2)))</f>
        <v/>
      </c>
      <c r="PA13" s="1" t="str">
        <f>IF($C13="","",psi_i(a_iVal2,y_iVal17,$A13,Kij_Val,BIPset,$AC$3,COUNTA(Chem2)))</f>
        <v/>
      </c>
      <c r="PF13" s="1">
        <f>IF($C13="",0,phi_i($OY$7,$OP$7,$OQ$7,O13,$PE$7,OZ13,$PB$7))</f>
        <v>0</v>
      </c>
      <c r="PG13" s="1">
        <f>IF($C13="",0,phi_i($OY$9,$OP$9,$OQ$9,O13,$PE$10,PA13,$PB$10))</f>
        <v>0</v>
      </c>
      <c r="PH13" s="1" t="e">
        <f t="shared" ca="1" si="127"/>
        <v>#NAME?</v>
      </c>
      <c r="PI13" s="1" t="e">
        <f t="shared" ca="1" si="128"/>
        <v>#NAME?</v>
      </c>
      <c r="PO13" s="89">
        <f t="shared" si="132"/>
        <v>0</v>
      </c>
      <c r="PZ13" s="1" t="str">
        <f>IF($C13="","",psi_i(a_iVal2,x_iVal2,$A13,Kij_Val,BIPset,$AC$3,COUNTA(Chem2)))</f>
        <v/>
      </c>
      <c r="QA13" s="1" t="str">
        <f>IF($C13="","",psi_i(a_iVal2,y_iVal18,$A13,Kij_Val,BIPset,$AC$3,COUNTA(Chem2)))</f>
        <v/>
      </c>
      <c r="QF13" s="1">
        <f>IF($C13="",0,phi_i($PY$7,$PP$7,$PQ$7,O13,$QE$7,PZ13,$QB$7))</f>
        <v>0</v>
      </c>
      <c r="QG13" s="1">
        <f>IF($C13="",0,phi_i($PY$9,$PP$9,$PQ$9,O13,$QE$10,QA13,$QB$10))</f>
        <v>0</v>
      </c>
      <c r="QH13" s="1" t="e">
        <f t="shared" ca="1" si="135"/>
        <v>#NAME?</v>
      </c>
      <c r="QI13" s="1" t="e">
        <f t="shared" ca="1" si="136"/>
        <v>#NAME?</v>
      </c>
      <c r="QO13" s="89">
        <f t="shared" si="140"/>
        <v>0</v>
      </c>
    </row>
    <row r="14" spans="1:457">
      <c r="A14">
        <f t="shared" si="141"/>
        <v>8</v>
      </c>
      <c r="B14" s="119"/>
      <c r="C14" s="119"/>
      <c r="D14" s="119"/>
      <c r="AO14" s="89"/>
      <c r="BO14" s="89">
        <f t="shared" si="20"/>
        <v>0</v>
      </c>
      <c r="CZ14" s="1" t="str">
        <f>IF($C14="","",psi_i(a_iVal2,x_iVal2,$A14,Kij_Val,BIPset,$AC$3,COUNTA(Chem2)))</f>
        <v/>
      </c>
      <c r="DA14" s="1" t="str">
        <f>IF($C14="","",psi_i(a_iVal2,y_iVal5,$A14,Kij_Val,BIPset,$AC$3,COUNTA(Chem2)))</f>
        <v/>
      </c>
      <c r="DF14" s="1">
        <f>IF($C14="",0,phi_i($CY$7,$CP$7,$CQ$7,O14,$DE$7,CZ14,$DB$7))</f>
        <v>0</v>
      </c>
      <c r="DG14" s="1">
        <f>IF($C14="",0,phi_i($CY$9,$CP$9,$CQ$9,O14,$DE$10,DA14,$DB$10))</f>
        <v>0</v>
      </c>
      <c r="DH14" s="1" t="e">
        <f t="shared" ca="1" si="31"/>
        <v>#NAME?</v>
      </c>
      <c r="DI14" s="1" t="e">
        <f t="shared" ca="1" si="32"/>
        <v>#NAME?</v>
      </c>
      <c r="DZ14" s="1" t="str">
        <f>IF($C14="","",psi_i(a_iVal2,x_iVal2,$A14,Kij_Val,BIPset,$AC$3,COUNTA(Chem2)))</f>
        <v/>
      </c>
      <c r="EA14" s="1" t="str">
        <f>IF($C14="","",psi_i(a_iVal2,y_iVal6,$A14,Kij_Val,BIPset,$AC$3,COUNTA(Chem2)))</f>
        <v/>
      </c>
      <c r="EF14" s="1">
        <f>IF($C14="",0,phi_i($DY$7,$DP$7,$DQ$7,O14,$EE$7,DZ14,$EB$7))</f>
        <v>0</v>
      </c>
      <c r="EG14" s="1">
        <f>IF($C14="",0,phi_i($DY$9,$DP$9,$DQ$9,O14,$EE$10,EA14,$EB$10))</f>
        <v>0</v>
      </c>
      <c r="EH14" s="1" t="e">
        <f t="shared" ca="1" si="39"/>
        <v>#NAME?</v>
      </c>
      <c r="EI14" s="1" t="e">
        <f t="shared" ca="1" si="40"/>
        <v>#NAME?</v>
      </c>
      <c r="EO14" s="89">
        <f t="shared" si="44"/>
        <v>0</v>
      </c>
      <c r="EZ14" s="1" t="str">
        <f>IF($C14="","",psi_i(a_iVal2,x_iVal2,$A14,Kij_Val,BIPset,$AC$3,COUNTA(Chem2)))</f>
        <v/>
      </c>
      <c r="FA14" s="1" t="str">
        <f>IF($C14="","",psi_i(a_iVal2,y_iVal7,$A14,Kij_Val,BIPset,$AC$3,COUNTA(Chem2)))</f>
        <v/>
      </c>
      <c r="FF14" s="1">
        <f>IF($C14="",0,phi_i($EY$7,$EP$7,$EQ$7,O14,$FE$7,EZ14,$FB$7))</f>
        <v>0</v>
      </c>
      <c r="FG14" s="1">
        <f>IF($C14="",0,phi_i($EY$9,$EP$9,$EQ$9,O14,$FE$10,FA14,$FB$10))</f>
        <v>0</v>
      </c>
      <c r="FH14" s="1" t="e">
        <f t="shared" ca="1" si="47"/>
        <v>#NAME?</v>
      </c>
      <c r="FI14" s="1" t="e">
        <f t="shared" ca="1" si="48"/>
        <v>#NAME?</v>
      </c>
      <c r="FZ14" s="1" t="str">
        <f>IF($C14="","",psi_i(a_iVal2,x_iVal2,$A14,Kij_Val,BIPset,$AC$3,COUNTA(Chem2)))</f>
        <v/>
      </c>
      <c r="GA14" s="1" t="str">
        <f>IF($C14="","",psi_i(a_iVal2,y_iVal8,$A14,Kij_Val,BIPset,$AC$3,COUNTA(Chem2)))</f>
        <v/>
      </c>
      <c r="GF14" s="1">
        <f>IF($C14="",0,phi_i($FY$7,$FP$7,$FQ$7,O14,$GE$7,FZ14,$GB$7))</f>
        <v>0</v>
      </c>
      <c r="GG14" s="1">
        <f>IF($C14="",0,phi_i($FY$9,$FP$9,$FQ$9,O14,$GE$10,GA14,$GB$10))</f>
        <v>0</v>
      </c>
      <c r="GH14" s="1" t="e">
        <f t="shared" ca="1" si="55"/>
        <v>#NAME?</v>
      </c>
      <c r="GI14" s="1" t="e">
        <f t="shared" ca="1" si="56"/>
        <v>#NAME?</v>
      </c>
      <c r="GO14" s="89">
        <f t="shared" si="60"/>
        <v>0</v>
      </c>
      <c r="GZ14" s="1" t="str">
        <f>IF($C14="","",psi_i(a_iVal2,x_iVal2,$A14,Kij_Val,BIPset,$AC$3,COUNTA(Chem2)))</f>
        <v/>
      </c>
      <c r="HA14" s="1" t="str">
        <f>IF($C14="","",psi_i(a_iVal2,y_iVal9,$A14,Kij_Val,BIPset,$AC$3,COUNTA(Chem2)))</f>
        <v/>
      </c>
      <c r="HF14" s="1">
        <f>IF($C14="",0,phi_i($GY$7,$GP$7,$GQ$7,O14,$HE$7,GZ14,$HB$7))</f>
        <v>0</v>
      </c>
      <c r="HG14" s="1">
        <f>IF($C14="",0,phi_i($GY$9,$GP$9,$GQ$9,O14,$HE$10,HA14,$HB$10))</f>
        <v>0</v>
      </c>
      <c r="HH14" s="1" t="e">
        <f t="shared" ca="1" si="63"/>
        <v>#NAME?</v>
      </c>
      <c r="HI14" s="1" t="e">
        <f t="shared" ca="1" si="64"/>
        <v>#NAME?</v>
      </c>
      <c r="HO14" s="89">
        <f t="shared" si="68"/>
        <v>0</v>
      </c>
      <c r="HZ14" s="1" t="str">
        <f>IF($C14="","",psi_i(a_iVal2,x_iVal2,$A14,Kij_Val,BIPset,$AC$3,COUNTA(Chem2)))</f>
        <v/>
      </c>
      <c r="IA14" s="1" t="str">
        <f>IF($C14="","",psi_i(a_iVal2,y_iVal10,$A14,Kij_Val,BIPset,$AC$3,COUNTA(Chem2)))</f>
        <v/>
      </c>
      <c r="IF14" s="1">
        <f>IF($C14="",0,phi_i($HY$7,$HP$7,$HQ$7,O14,$IE$7,HZ14,$IB$7))</f>
        <v>0</v>
      </c>
      <c r="IG14" s="1">
        <f>IF($C14="",0,phi_i($HY$9,$HP$9,$HQ$9,O14,$IE$10,IA14,$IB$10))</f>
        <v>0</v>
      </c>
      <c r="IH14" s="1" t="e">
        <f t="shared" ca="1" si="71"/>
        <v>#NAME?</v>
      </c>
      <c r="II14" s="1" t="e">
        <f t="shared" ca="1" si="72"/>
        <v>#NAME?</v>
      </c>
      <c r="IO14" s="89">
        <f t="shared" si="76"/>
        <v>0</v>
      </c>
      <c r="IZ14" s="1" t="str">
        <f>IF($C14="","",psi_i(a_iVal2,x_iVal2,$A14,Kij_Val,BIPset,$AC$3,COUNTA(Chem2)))</f>
        <v/>
      </c>
      <c r="JA14" s="1" t="str">
        <f>IF($C14="","",psi_i(a_iVal2,y_iVal10,$A14,Kij_Val,BIPset,$AC$3,COUNTA(Chem2)))</f>
        <v/>
      </c>
      <c r="JF14" s="1">
        <f>IF($C14="",0,phi_i($IY$7,$IP$7,$IQ$7,O14,$JE$7,IZ14,$JB$7))</f>
        <v>0</v>
      </c>
      <c r="JG14" s="1">
        <f>IF($C14="",0,phi_i($IY$9,$IP$9,$IQ$9,O14,$JE$10,JA14,$JB$10))</f>
        <v>0</v>
      </c>
      <c r="JH14" s="1" t="e">
        <f t="shared" ca="1" si="79"/>
        <v>#NAME?</v>
      </c>
      <c r="JI14" s="1" t="e">
        <f t="shared" ca="1" si="80"/>
        <v>#NAME?</v>
      </c>
      <c r="JO14" s="89">
        <f t="shared" si="84"/>
        <v>0</v>
      </c>
      <c r="JZ14" s="1" t="str">
        <f>IF($C14="","",psi_i(a_iVal2,x_iVal2,$A14,Kij_Val,BIPset,$AC$3,COUNTA(Chem2)))</f>
        <v/>
      </c>
      <c r="KA14" s="1" t="str">
        <f>IF($C14="","",psi_i(a_iVal2,y_iVal12,$A14,Kij_Val,BIPset,$AC$3,COUNTA(Chem2)))</f>
        <v/>
      </c>
      <c r="KF14" s="1">
        <f>IF($C14="",0,phi_i($JY$7,$JP$7,$JQ$7,O14,$KE$7,JZ14,$KB$7))</f>
        <v>0</v>
      </c>
      <c r="KG14" s="1">
        <f>IF($C14="",0,phi_i($JY$9,$JP$9,$JQ$9,O14,$KE$10,KA14,$KB$10))</f>
        <v>0</v>
      </c>
      <c r="KH14" s="1" t="e">
        <f t="shared" ca="1" si="87"/>
        <v>#NAME?</v>
      </c>
      <c r="KI14" s="1" t="e">
        <f t="shared" ca="1" si="88"/>
        <v>#NAME?</v>
      </c>
      <c r="KO14" s="89">
        <f t="shared" si="92"/>
        <v>0</v>
      </c>
      <c r="KZ14" s="1" t="str">
        <f>IF($C14="","",psi_i(a_iVal2,x_iVal2,$A14,Kij_Val,BIPset,$AC$3,COUNTA(Chem2)))</f>
        <v/>
      </c>
      <c r="LA14" s="1" t="str">
        <f>IF($C14="","",psi_i(a_iVal2,y_iVal13,$A14,Kij_Val,BIPset,$AC$3,COUNTA(Chem2)))</f>
        <v/>
      </c>
      <c r="LF14" s="1">
        <f>IF($C14="",0,phi_i($KY$7,$KP$7,$KQ$7,O14,$LE$7,KZ14,$LB$7))</f>
        <v>0</v>
      </c>
      <c r="LG14" s="1">
        <f>IF($C14="",0,phi_i($KY$9,$KP$9,$KQ$9,O14,$LE$10,LA14,$LB$10))</f>
        <v>0</v>
      </c>
      <c r="LH14" s="1" t="e">
        <f t="shared" ca="1" si="95"/>
        <v>#NAME?</v>
      </c>
      <c r="LI14" s="1" t="e">
        <f t="shared" ca="1" si="96"/>
        <v>#NAME?</v>
      </c>
      <c r="LO14" s="89">
        <f t="shared" si="100"/>
        <v>0</v>
      </c>
      <c r="LZ14" s="1" t="str">
        <f>IF($C14="","",psi_i(a_iVal2,x_iVal2,$A14,Kij_Val,BIPset,$AC$3,COUNTA(Chem2)))</f>
        <v/>
      </c>
      <c r="MA14" s="1" t="str">
        <f>IF($C14="","",psi_i(a_iVal2,y_iVal14,$A14,Kij_Val,BIPset,$AC$3,COUNTA(Chem2)))</f>
        <v/>
      </c>
      <c r="MF14" s="1">
        <f>IF($C14="",0,phi_i($LY$7,$LP$7,$LQ$7,O14,$ME$7,LZ14,$MB$7))</f>
        <v>0</v>
      </c>
      <c r="MG14" s="1">
        <f>IF($C14="",0,phi_i($LY$9,$LP$9,$LQ$9,O14,$ME$10,MA14,$MB$10))</f>
        <v>0</v>
      </c>
      <c r="MH14" s="1" t="e">
        <f t="shared" ca="1" si="103"/>
        <v>#NAME?</v>
      </c>
      <c r="MI14" s="1" t="e">
        <f t="shared" ca="1" si="104"/>
        <v>#NAME?</v>
      </c>
      <c r="MO14" s="89">
        <f t="shared" si="108"/>
        <v>0</v>
      </c>
      <c r="MZ14" s="1" t="str">
        <f>IF($C14="","",psi_i(a_iVal2,x_iVal2,$A14,Kij_Val,BIPset,$AC$3,COUNTA(Chem2)))</f>
        <v/>
      </c>
      <c r="NA14" s="1" t="str">
        <f>IF($C14="","",psi_i(a_iVal2,y_iVal15,$A14,Kij_Val,BIPset,$AC$3,COUNTA(Chem2)))</f>
        <v/>
      </c>
      <c r="NF14" s="1">
        <f>IF($C14="",0,phi_i($MY$7,$MP$7,$MQ$7,O14,$NE$7,MZ14,$NB$7))</f>
        <v>0</v>
      </c>
      <c r="NG14" s="1">
        <f>IF($C14="",0,phi_i($MY$9,$MP$9,$MQ$9,O14,$NE$10,NA14,$NB$10))</f>
        <v>0</v>
      </c>
      <c r="NH14" s="1" t="e">
        <f t="shared" ca="1" si="111"/>
        <v>#NAME?</v>
      </c>
      <c r="NI14" s="1" t="e">
        <f t="shared" ca="1" si="112"/>
        <v>#NAME?</v>
      </c>
      <c r="NO14" s="89">
        <f t="shared" si="116"/>
        <v>0</v>
      </c>
      <c r="NZ14" s="1" t="str">
        <f>IF($C14="","",psi_i(a_iVal2,x_iVal2,$A14,Kij_Val,BIPset,$AC$3,COUNTA(Chem2)))</f>
        <v/>
      </c>
      <c r="OA14" s="1" t="str">
        <f>IF($C14="","",psi_i(a_iVal2,y_iVal16,$A14,Kij_Val,BIPset,$AC$3,COUNTA(Chem2)))</f>
        <v/>
      </c>
      <c r="OF14" s="1">
        <f>IF($C14="",0,phi_i($NY$7,$NP$7,$NQ$7,O14,$OE$7,NZ14,$OB$7))</f>
        <v>0</v>
      </c>
      <c r="OG14" s="1">
        <f>IF($C14="",0,phi_i($NY$9,$NP$9,$NQ$9,O14,$OE$10,OA14,$OB$10))</f>
        <v>0</v>
      </c>
      <c r="OH14" s="1" t="e">
        <f t="shared" ca="1" si="119"/>
        <v>#NAME?</v>
      </c>
      <c r="OI14" s="1" t="e">
        <f t="shared" ca="1" si="120"/>
        <v>#NAME?</v>
      </c>
      <c r="OO14" s="89">
        <f t="shared" si="124"/>
        <v>0</v>
      </c>
      <c r="OZ14" s="1" t="str">
        <f>IF($C14="","",psi_i(a_iVal2,x_iVal2,$A14,Kij_Val,BIPset,$AC$3,COUNTA(Chem2)))</f>
        <v/>
      </c>
      <c r="PA14" s="1" t="str">
        <f>IF($C14="","",psi_i(a_iVal2,y_iVal17,$A14,Kij_Val,BIPset,$AC$3,COUNTA(Chem2)))</f>
        <v/>
      </c>
      <c r="PF14" s="1">
        <f>IF($C14="",0,phi_i($OY$7,$OP$7,$OQ$7,O14,$PE$7,OZ14,$PB$7))</f>
        <v>0</v>
      </c>
      <c r="PG14" s="1">
        <f>IF($C14="",0,phi_i($OY$9,$OP$9,$OQ$9,O14,$PE$10,PA14,$PB$10))</f>
        <v>0</v>
      </c>
      <c r="PH14" s="1" t="e">
        <f t="shared" ca="1" si="127"/>
        <v>#NAME?</v>
      </c>
      <c r="PI14" s="1" t="e">
        <f t="shared" ca="1" si="128"/>
        <v>#NAME?</v>
      </c>
      <c r="PO14" s="89">
        <f t="shared" si="132"/>
        <v>0</v>
      </c>
      <c r="PZ14" s="1" t="str">
        <f>IF($C14="","",psi_i(a_iVal2,x_iVal2,$A14,Kij_Val,BIPset,$AC$3,COUNTA(Chem2)))</f>
        <v/>
      </c>
      <c r="QA14" s="1" t="str">
        <f>IF($C14="","",psi_i(a_iVal2,y_iVal18,$A14,Kij_Val,BIPset,$AC$3,COUNTA(Chem2)))</f>
        <v/>
      </c>
      <c r="QF14" s="1">
        <f>IF($C14="",0,phi_i($PY$7,$PP$7,$PQ$7,O14,$QE$7,PZ14,$QB$7))</f>
        <v>0</v>
      </c>
      <c r="QG14" s="1">
        <f>IF($C14="",0,phi_i($PY$9,$PP$9,$PQ$9,O14,$QE$10,QA14,$QB$10))</f>
        <v>0</v>
      </c>
      <c r="QH14" s="1" t="e">
        <f t="shared" ca="1" si="135"/>
        <v>#NAME?</v>
      </c>
      <c r="QI14" s="1" t="e">
        <f t="shared" ca="1" si="136"/>
        <v>#NAME?</v>
      </c>
      <c r="QO14" s="89">
        <f t="shared" si="140"/>
        <v>0</v>
      </c>
    </row>
    <row r="15" spans="1:457">
      <c r="A15">
        <f t="shared" si="141"/>
        <v>9</v>
      </c>
      <c r="B15" s="119"/>
      <c r="C15" s="119"/>
      <c r="D15" s="119"/>
      <c r="AO15" s="89"/>
      <c r="BO15" s="89">
        <f t="shared" si="20"/>
        <v>0</v>
      </c>
      <c r="CZ15" s="1" t="str">
        <f>IF($C15="","",psi_i(a_iVal2,x_iVal2,$A15,Kij_Val,BIPset,$AC$3,COUNTA(Chem2)))</f>
        <v/>
      </c>
      <c r="DA15" s="1" t="str">
        <f>IF($C15="","",psi_i(a_iVal2,y_iVal5,$A15,Kij_Val,BIPset,$AC$3,COUNTA(Chem2)))</f>
        <v/>
      </c>
      <c r="DF15" s="1">
        <f>IF($C15="",0,phi_i($CY$7,$CP$7,$CQ$7,O15,$DE$7,CZ15,$DB$7))</f>
        <v>0</v>
      </c>
      <c r="DG15" s="1">
        <f>IF($C15="",0,phi_i($CY$9,$CP$9,$CQ$9,O15,$DE$10,DA15,$DB$10))</f>
        <v>0</v>
      </c>
      <c r="DH15" s="1" t="e">
        <f t="shared" ca="1" si="31"/>
        <v>#NAME?</v>
      </c>
      <c r="DI15" s="1" t="e">
        <f t="shared" ca="1" si="32"/>
        <v>#NAME?</v>
      </c>
      <c r="DZ15" s="1" t="str">
        <f>IF($C15="","",psi_i(a_iVal2,x_iVal2,$A15,Kij_Val,BIPset,$AC$3,COUNTA(Chem2)))</f>
        <v/>
      </c>
      <c r="EA15" s="1" t="str">
        <f>IF($C15="","",psi_i(a_iVal2,y_iVal6,$A15,Kij_Val,BIPset,$AC$3,COUNTA(Chem2)))</f>
        <v/>
      </c>
      <c r="EF15" s="1">
        <f>IF($C15="",0,phi_i($DY$7,$DP$7,$DQ$7,O15,$EE$7,DZ15,$EB$7))</f>
        <v>0</v>
      </c>
      <c r="EG15" s="1">
        <f>IF($C15="",0,phi_i($DY$9,$DP$9,$DQ$9,O15,$EE$10,EA15,$EB$10))</f>
        <v>0</v>
      </c>
      <c r="EH15" s="1" t="e">
        <f t="shared" ca="1" si="39"/>
        <v>#NAME?</v>
      </c>
      <c r="EI15" s="1" t="e">
        <f t="shared" ca="1" si="40"/>
        <v>#NAME?</v>
      </c>
      <c r="EO15" s="89">
        <f t="shared" si="44"/>
        <v>0</v>
      </c>
      <c r="EZ15" s="1" t="str">
        <f>IF($C15="","",psi_i(a_iVal2,x_iVal2,$A15,Kij_Val,BIPset,$AC$3,COUNTA(Chem2)))</f>
        <v/>
      </c>
      <c r="FA15" s="1" t="str">
        <f>IF($C15="","",psi_i(a_iVal2,y_iVal7,$A15,Kij_Val,BIPset,$AC$3,COUNTA(Chem2)))</f>
        <v/>
      </c>
      <c r="FF15" s="1">
        <f>IF($C15="",0,phi_i($EY$7,$EP$7,$EQ$7,O15,$FE$7,EZ15,$FB$7))</f>
        <v>0</v>
      </c>
      <c r="FG15" s="1">
        <f>IF($C15="",0,phi_i($EY$9,$EP$9,$EQ$9,O15,$FE$10,FA15,$FB$10))</f>
        <v>0</v>
      </c>
      <c r="FH15" s="1" t="e">
        <f t="shared" ca="1" si="47"/>
        <v>#NAME?</v>
      </c>
      <c r="FI15" s="1" t="e">
        <f t="shared" ca="1" si="48"/>
        <v>#NAME?</v>
      </c>
      <c r="FZ15" s="1" t="str">
        <f>IF($C15="","",psi_i(a_iVal2,x_iVal2,$A15,Kij_Val,BIPset,$AC$3,COUNTA(Chem2)))</f>
        <v/>
      </c>
      <c r="GA15" s="1" t="str">
        <f>IF($C15="","",psi_i(a_iVal2,y_iVal8,$A15,Kij_Val,BIPset,$AC$3,COUNTA(Chem2)))</f>
        <v/>
      </c>
      <c r="GF15" s="1">
        <f>IF($C15="",0,phi_i($FY$7,$FP$7,$FQ$7,O15,$GE$7,FZ15,$GB$7))</f>
        <v>0</v>
      </c>
      <c r="GG15" s="1">
        <f>IF($C15="",0,phi_i($FY$9,$FP$9,$FQ$9,O15,$GE$10,GA15,$GB$10))</f>
        <v>0</v>
      </c>
      <c r="GH15" s="1" t="e">
        <f t="shared" ca="1" si="55"/>
        <v>#NAME?</v>
      </c>
      <c r="GI15" s="1" t="e">
        <f t="shared" ca="1" si="56"/>
        <v>#NAME?</v>
      </c>
      <c r="GO15" s="89">
        <f t="shared" si="60"/>
        <v>0</v>
      </c>
      <c r="GZ15" s="1" t="str">
        <f>IF($C15="","",psi_i(a_iVal2,x_iVal2,$A15,Kij_Val,BIPset,$AC$3,COUNTA(Chem2)))</f>
        <v/>
      </c>
      <c r="HA15" s="1" t="str">
        <f>IF($C15="","",psi_i(a_iVal2,y_iVal9,$A15,Kij_Val,BIPset,$AC$3,COUNTA(Chem2)))</f>
        <v/>
      </c>
      <c r="HF15" s="1">
        <f>IF($C15="",0,phi_i($GY$7,$GP$7,$GQ$7,O15,$HE$7,GZ15,$HB$7))</f>
        <v>0</v>
      </c>
      <c r="HG15" s="1">
        <f>IF($C15="",0,phi_i($GY$9,$GP$9,$GQ$9,O15,$HE$10,HA15,$HB$10))</f>
        <v>0</v>
      </c>
      <c r="HH15" s="1" t="e">
        <f t="shared" ca="1" si="63"/>
        <v>#NAME?</v>
      </c>
      <c r="HI15" s="1" t="e">
        <f t="shared" ca="1" si="64"/>
        <v>#NAME?</v>
      </c>
      <c r="HO15" s="89">
        <f t="shared" si="68"/>
        <v>0</v>
      </c>
      <c r="HZ15" s="1" t="str">
        <f>IF($C15="","",psi_i(a_iVal2,x_iVal2,$A15,Kij_Val,BIPset,$AC$3,COUNTA(Chem2)))</f>
        <v/>
      </c>
      <c r="IA15" s="1" t="str">
        <f>IF($C15="","",psi_i(a_iVal2,y_iVal10,$A15,Kij_Val,BIPset,$AC$3,COUNTA(Chem2)))</f>
        <v/>
      </c>
      <c r="IF15" s="1">
        <f>IF($C15="",0,phi_i($HY$7,$HP$7,$HQ$7,O15,$IE$7,HZ15,$IB$7))</f>
        <v>0</v>
      </c>
      <c r="IG15" s="1">
        <f>IF($C15="",0,phi_i($HY$9,$HP$9,$HQ$9,O15,$IE$10,IA15,$IB$10))</f>
        <v>0</v>
      </c>
      <c r="IH15" s="1" t="e">
        <f t="shared" ca="1" si="71"/>
        <v>#NAME?</v>
      </c>
      <c r="II15" s="1" t="e">
        <f t="shared" ca="1" si="72"/>
        <v>#NAME?</v>
      </c>
      <c r="IO15" s="89">
        <f t="shared" si="76"/>
        <v>0</v>
      </c>
      <c r="IZ15" s="1" t="str">
        <f>IF($C15="","",psi_i(a_iVal2,x_iVal2,$A15,Kij_Val,BIPset,$AC$3,COUNTA(Chem2)))</f>
        <v/>
      </c>
      <c r="JA15" s="1" t="str">
        <f>IF($C15="","",psi_i(a_iVal2,y_iVal10,$A15,Kij_Val,BIPset,$AC$3,COUNTA(Chem2)))</f>
        <v/>
      </c>
      <c r="JF15" s="1">
        <f>IF($C15="",0,phi_i($IY$7,$IP$7,$IQ$7,O15,$JE$7,IZ15,$JB$7))</f>
        <v>0</v>
      </c>
      <c r="JG15" s="1">
        <f>IF($C15="",0,phi_i($IY$9,$IP$9,$IQ$9,O15,$JE$10,JA15,$JB$10))</f>
        <v>0</v>
      </c>
      <c r="JH15" s="1" t="e">
        <f t="shared" ca="1" si="79"/>
        <v>#NAME?</v>
      </c>
      <c r="JI15" s="1" t="e">
        <f t="shared" ca="1" si="80"/>
        <v>#NAME?</v>
      </c>
      <c r="JO15" s="89">
        <f t="shared" si="84"/>
        <v>0</v>
      </c>
      <c r="JZ15" s="1" t="str">
        <f>IF($C15="","",psi_i(a_iVal2,x_iVal2,$A15,Kij_Val,BIPset,$AC$3,COUNTA(Chem2)))</f>
        <v/>
      </c>
      <c r="KA15" s="1" t="str">
        <f>IF($C15="","",psi_i(a_iVal2,y_iVal12,$A15,Kij_Val,BIPset,$AC$3,COUNTA(Chem2)))</f>
        <v/>
      </c>
      <c r="KF15" s="1">
        <f>IF($C15="",0,phi_i($JY$7,$JP$7,$JQ$7,O15,$KE$7,JZ15,$KB$7))</f>
        <v>0</v>
      </c>
      <c r="KG15" s="1">
        <f>IF($C15="",0,phi_i($JY$9,$JP$9,$JQ$9,O15,$KE$10,KA15,$KB$10))</f>
        <v>0</v>
      </c>
      <c r="KH15" s="1" t="e">
        <f t="shared" ca="1" si="87"/>
        <v>#NAME?</v>
      </c>
      <c r="KI15" s="1" t="e">
        <f t="shared" ca="1" si="88"/>
        <v>#NAME?</v>
      </c>
      <c r="KO15" s="89">
        <f t="shared" si="92"/>
        <v>0</v>
      </c>
      <c r="KZ15" s="1" t="str">
        <f>IF($C15="","",psi_i(a_iVal2,x_iVal2,$A15,Kij_Val,BIPset,$AC$3,COUNTA(Chem2)))</f>
        <v/>
      </c>
      <c r="LA15" s="1" t="str">
        <f>IF($C15="","",psi_i(a_iVal2,y_iVal13,$A15,Kij_Val,BIPset,$AC$3,COUNTA(Chem2)))</f>
        <v/>
      </c>
      <c r="LF15" s="1">
        <f>IF($C15="",0,phi_i($KY$7,$KP$7,$KQ$7,O15,$LE$7,KZ15,$LB$7))</f>
        <v>0</v>
      </c>
      <c r="LG15" s="1">
        <f>IF($C15="",0,phi_i($KY$9,$KP$9,$KQ$9,O15,$LE$10,LA15,$LB$10))</f>
        <v>0</v>
      </c>
      <c r="LH15" s="1" t="e">
        <f t="shared" ca="1" si="95"/>
        <v>#NAME?</v>
      </c>
      <c r="LI15" s="1" t="e">
        <f t="shared" ca="1" si="96"/>
        <v>#NAME?</v>
      </c>
      <c r="LO15" s="89">
        <f t="shared" si="100"/>
        <v>0</v>
      </c>
      <c r="LZ15" s="1" t="str">
        <f>IF($C15="","",psi_i(a_iVal2,x_iVal2,$A15,Kij_Val,BIPset,$AC$3,COUNTA(Chem2)))</f>
        <v/>
      </c>
      <c r="MA15" s="1" t="str">
        <f>IF($C15="","",psi_i(a_iVal2,y_iVal14,$A15,Kij_Val,BIPset,$AC$3,COUNTA(Chem2)))</f>
        <v/>
      </c>
      <c r="MF15" s="1">
        <f>IF($C15="",0,phi_i($LY$7,$LP$7,$LQ$7,O15,$ME$7,LZ15,$MB$7))</f>
        <v>0</v>
      </c>
      <c r="MG15" s="1">
        <f>IF($C15="",0,phi_i($LY$9,$LP$9,$LQ$9,O15,$ME$10,MA15,$MB$10))</f>
        <v>0</v>
      </c>
      <c r="MH15" s="1" t="e">
        <f t="shared" ca="1" si="103"/>
        <v>#NAME?</v>
      </c>
      <c r="MI15" s="1" t="e">
        <f t="shared" ca="1" si="104"/>
        <v>#NAME?</v>
      </c>
      <c r="MO15" s="89">
        <f t="shared" si="108"/>
        <v>0</v>
      </c>
      <c r="MZ15" s="1" t="str">
        <f>IF($C15="","",psi_i(a_iVal2,x_iVal2,$A15,Kij_Val,BIPset,$AC$3,COUNTA(Chem2)))</f>
        <v/>
      </c>
      <c r="NA15" s="1" t="str">
        <f>IF($C15="","",psi_i(a_iVal2,y_iVal15,$A15,Kij_Val,BIPset,$AC$3,COUNTA(Chem2)))</f>
        <v/>
      </c>
      <c r="NF15" s="1">
        <f>IF($C15="",0,phi_i($MY$7,$MP$7,$MQ$7,O15,$NE$7,MZ15,$NB$7))</f>
        <v>0</v>
      </c>
      <c r="NG15" s="1">
        <f>IF($C15="",0,phi_i($MY$9,$MP$9,$MQ$9,O15,$NE$10,NA15,$NB$10))</f>
        <v>0</v>
      </c>
      <c r="NH15" s="1" t="e">
        <f t="shared" ca="1" si="111"/>
        <v>#NAME?</v>
      </c>
      <c r="NI15" s="1" t="e">
        <f t="shared" ca="1" si="112"/>
        <v>#NAME?</v>
      </c>
      <c r="NO15" s="89">
        <f t="shared" si="116"/>
        <v>0</v>
      </c>
      <c r="NZ15" s="1" t="str">
        <f>IF($C15="","",psi_i(a_iVal2,x_iVal2,$A15,Kij_Val,BIPset,$AC$3,COUNTA(Chem2)))</f>
        <v/>
      </c>
      <c r="OA15" s="1" t="str">
        <f>IF($C15="","",psi_i(a_iVal2,y_iVal16,$A15,Kij_Val,BIPset,$AC$3,COUNTA(Chem2)))</f>
        <v/>
      </c>
      <c r="OF15" s="1">
        <f>IF($C15="",0,phi_i($NY$7,$NP$7,$NQ$7,O15,$OE$7,NZ15,$OB$7))</f>
        <v>0</v>
      </c>
      <c r="OG15" s="1">
        <f>IF($C15="",0,phi_i($NY$9,$NP$9,$NQ$9,O15,$OE$10,OA15,$OB$10))</f>
        <v>0</v>
      </c>
      <c r="OH15" s="1" t="e">
        <f t="shared" ca="1" si="119"/>
        <v>#NAME?</v>
      </c>
      <c r="OI15" s="1" t="e">
        <f t="shared" ca="1" si="120"/>
        <v>#NAME?</v>
      </c>
      <c r="OO15" s="89">
        <f t="shared" si="124"/>
        <v>0</v>
      </c>
      <c r="OZ15" s="1" t="str">
        <f>IF($C15="","",psi_i(a_iVal2,x_iVal2,$A15,Kij_Val,BIPset,$AC$3,COUNTA(Chem2)))</f>
        <v/>
      </c>
      <c r="PA15" s="1" t="str">
        <f>IF($C15="","",psi_i(a_iVal2,y_iVal17,$A15,Kij_Val,BIPset,$AC$3,COUNTA(Chem2)))</f>
        <v/>
      </c>
      <c r="PF15" s="1">
        <f>IF($C15="",0,phi_i($OY$7,$OP$7,$OQ$7,O15,$PE$7,OZ15,$PB$7))</f>
        <v>0</v>
      </c>
      <c r="PG15" s="1">
        <f>IF($C15="",0,phi_i($OY$9,$OP$9,$OQ$9,O15,$PE$10,PA15,$PB$10))</f>
        <v>0</v>
      </c>
      <c r="PH15" s="1" t="e">
        <f t="shared" ca="1" si="127"/>
        <v>#NAME?</v>
      </c>
      <c r="PI15" s="1" t="e">
        <f t="shared" ca="1" si="128"/>
        <v>#NAME?</v>
      </c>
      <c r="PO15" s="89">
        <f t="shared" si="132"/>
        <v>0</v>
      </c>
      <c r="PZ15" s="1" t="str">
        <f>IF($C15="","",psi_i(a_iVal2,x_iVal2,$A15,Kij_Val,BIPset,$AC$3,COUNTA(Chem2)))</f>
        <v/>
      </c>
      <c r="QA15" s="1" t="str">
        <f>IF($C15="","",psi_i(a_iVal2,y_iVal18,$A15,Kij_Val,BIPset,$AC$3,COUNTA(Chem2)))</f>
        <v/>
      </c>
      <c r="QF15" s="1">
        <f>IF($C15="",0,phi_i($PY$7,$PP$7,$PQ$7,O15,$QE$7,PZ15,$QB$7))</f>
        <v>0</v>
      </c>
      <c r="QG15" s="1">
        <f>IF($C15="",0,phi_i($PY$9,$PP$9,$PQ$9,O15,$QE$10,QA15,$QB$10))</f>
        <v>0</v>
      </c>
      <c r="QH15" s="1" t="e">
        <f t="shared" ca="1" si="135"/>
        <v>#NAME?</v>
      </c>
      <c r="QI15" s="1" t="e">
        <f t="shared" ca="1" si="136"/>
        <v>#NAME?</v>
      </c>
      <c r="QO15" s="89">
        <f t="shared" si="140"/>
        <v>0</v>
      </c>
    </row>
    <row r="16" spans="1:457">
      <c r="A16">
        <f t="shared" si="141"/>
        <v>10</v>
      </c>
      <c r="B16" s="119"/>
      <c r="C16" s="119"/>
      <c r="D16" s="119"/>
      <c r="AO16" s="89"/>
      <c r="CZ16" s="1" t="str">
        <f>IF($C16="","",psi_i(a_iVal2,x_iVal2,$A16,Kij_Val,BIPset,$AC$3,COUNTA(Chem2)))</f>
        <v/>
      </c>
      <c r="DA16" s="1" t="str">
        <f>IF($C16="","",psi_i(a_iVal2,y_iVal5,$A16,Kij_Val,BIPset,$AC$3,COUNTA(Chem2)))</f>
        <v/>
      </c>
      <c r="DF16" s="1">
        <f>IF($C16="",0,phi_i($CY$7,$CP$7,$CQ$7,O16,$DE$7,CZ16,$DB$7))</f>
        <v>0</v>
      </c>
      <c r="DG16" s="1">
        <f>IF($C16="",0,phi_i($CY$9,$CP$9,$CQ$9,O16,$DE$10,DA16,$DB$10))</f>
        <v>0</v>
      </c>
      <c r="DH16" s="1" t="e">
        <f t="shared" ca="1" si="31"/>
        <v>#NAME?</v>
      </c>
      <c r="DI16" s="1" t="e">
        <f t="shared" ca="1" si="32"/>
        <v>#NAME?</v>
      </c>
      <c r="DZ16" s="1" t="str">
        <f>IF($C16="","",psi_i(a_iVal2,x_iVal2,$A16,Kij_Val,BIPset,$AC$3,COUNTA(Chem2)))</f>
        <v/>
      </c>
      <c r="EA16" s="1" t="str">
        <f>IF($C16="","",psi_i(a_iVal2,y_iVal6,$A16,Kij_Val,BIPset,$AC$3,COUNTA(Chem2)))</f>
        <v/>
      </c>
      <c r="EF16" s="1">
        <f>IF($C16="",0,phi_i($DY$7,$DP$7,$DQ$7,O16,$EE$7,DZ16,$EB$7))</f>
        <v>0</v>
      </c>
      <c r="EG16" s="1">
        <f>IF($C16="",0,phi_i($DY$9,$DP$9,$DQ$9,O16,$EE$10,EA16,$EB$10))</f>
        <v>0</v>
      </c>
      <c r="EH16" s="1" t="e">
        <f t="shared" ca="1" si="39"/>
        <v>#NAME?</v>
      </c>
      <c r="EI16" s="1" t="e">
        <f t="shared" ca="1" si="40"/>
        <v>#NAME?</v>
      </c>
      <c r="EO16" s="89">
        <f t="shared" si="44"/>
        <v>0</v>
      </c>
      <c r="EZ16" s="1" t="str">
        <f>IF($C16="","",psi_i(a_iVal2,x_iVal2,$A16,Kij_Val,BIPset,$AC$3,COUNTA(Chem2)))</f>
        <v/>
      </c>
      <c r="FA16" s="1" t="str">
        <f>IF($C16="","",psi_i(a_iVal2,y_iVal7,$A16,Kij_Val,BIPset,$AC$3,COUNTA(Chem2)))</f>
        <v/>
      </c>
      <c r="FF16" s="1">
        <f>IF($C16="",0,phi_i($EY$7,$EP$7,$EQ$7,O16,$FE$7,EZ16,$FB$7))</f>
        <v>0</v>
      </c>
      <c r="FG16" s="1">
        <f>IF($C16="",0,phi_i($EY$9,$EP$9,$EQ$9,O16,$FE$10,FA16,$FB$10))</f>
        <v>0</v>
      </c>
      <c r="FH16" s="1" t="e">
        <f t="shared" ca="1" si="47"/>
        <v>#NAME?</v>
      </c>
      <c r="FI16" s="1" t="e">
        <f t="shared" ca="1" si="48"/>
        <v>#NAME?</v>
      </c>
      <c r="FZ16" s="1" t="str">
        <f>IF($C16="","",psi_i(a_iVal2,x_iVal2,$A16,Kij_Val,BIPset,$AC$3,COUNTA(Chem2)))</f>
        <v/>
      </c>
      <c r="GA16" s="1" t="str">
        <f>IF($C16="","",psi_i(a_iVal2,y_iVal8,$A16,Kij_Val,BIPset,$AC$3,COUNTA(Chem2)))</f>
        <v/>
      </c>
      <c r="GF16" s="1">
        <f>IF($C16="",0,phi_i($FY$7,$FP$7,$FQ$7,O16,$GE$7,FZ16,$GB$7))</f>
        <v>0</v>
      </c>
      <c r="GG16" s="1">
        <f>IF($C16="",0,phi_i($FY$9,$FP$9,$FQ$9,O16,$GE$10,GA16,$GB$10))</f>
        <v>0</v>
      </c>
      <c r="GH16" s="1" t="e">
        <f t="shared" ca="1" si="55"/>
        <v>#NAME?</v>
      </c>
      <c r="GI16" s="1" t="e">
        <f t="shared" ca="1" si="56"/>
        <v>#NAME?</v>
      </c>
      <c r="GO16" s="89">
        <f t="shared" si="60"/>
        <v>0</v>
      </c>
      <c r="GZ16" s="1" t="str">
        <f>IF($C16="","",psi_i(a_iVal2,x_iVal2,$A16,Kij_Val,BIPset,$AC$3,COUNTA(Chem2)))</f>
        <v/>
      </c>
      <c r="HA16" s="1" t="str">
        <f>IF($C16="","",psi_i(a_iVal2,y_iVal9,$A16,Kij_Val,BIPset,$AC$3,COUNTA(Chem2)))</f>
        <v/>
      </c>
      <c r="HF16" s="1">
        <f>IF($C16="",0,phi_i($GY$7,$GP$7,$GQ$7,O16,$HE$7,GZ16,$HB$7))</f>
        <v>0</v>
      </c>
      <c r="HG16" s="1">
        <f>IF($C16="",0,phi_i($GY$9,$GP$9,$GQ$9,O16,$HE$10,HA16,$HB$10))</f>
        <v>0</v>
      </c>
      <c r="HH16" s="1" t="e">
        <f t="shared" ca="1" si="63"/>
        <v>#NAME?</v>
      </c>
      <c r="HI16" s="1" t="e">
        <f t="shared" ca="1" si="64"/>
        <v>#NAME?</v>
      </c>
      <c r="HO16" s="89">
        <f t="shared" si="68"/>
        <v>0</v>
      </c>
      <c r="HZ16" s="1" t="str">
        <f>IF($C16="","",psi_i(a_iVal2,x_iVal2,$A16,Kij_Val,BIPset,$AC$3,COUNTA(Chem2)))</f>
        <v/>
      </c>
      <c r="IA16" s="1" t="str">
        <f>IF($C16="","",psi_i(a_iVal2,y_iVal10,$A16,Kij_Val,BIPset,$AC$3,COUNTA(Chem2)))</f>
        <v/>
      </c>
      <c r="IF16" s="1">
        <f>IF($C16="",0,phi_i($HY$7,$HP$7,$HQ$7,O16,$IE$7,HZ16,$IB$7))</f>
        <v>0</v>
      </c>
      <c r="IG16" s="1">
        <f>IF($C16="",0,phi_i($HY$9,$HP$9,$HQ$9,O16,$IE$10,IA16,$IB$10))</f>
        <v>0</v>
      </c>
      <c r="IH16" s="1" t="e">
        <f t="shared" ca="1" si="71"/>
        <v>#NAME?</v>
      </c>
      <c r="II16" s="1" t="e">
        <f t="shared" ca="1" si="72"/>
        <v>#NAME?</v>
      </c>
      <c r="IO16" s="89">
        <f t="shared" si="76"/>
        <v>0</v>
      </c>
      <c r="IZ16" s="1" t="str">
        <f>IF($C16="","",psi_i(a_iVal2,x_iVal2,$A16,Kij_Val,BIPset,$AC$3,COUNTA(Chem2)))</f>
        <v/>
      </c>
      <c r="JA16" s="1" t="str">
        <f>IF($C16="","",psi_i(a_iVal2,y_iVal10,$A16,Kij_Val,BIPset,$AC$3,COUNTA(Chem2)))</f>
        <v/>
      </c>
      <c r="JF16" s="1">
        <f>IF($C16="",0,phi_i($IY$7,$IP$7,$IQ$7,O16,$JE$7,IZ16,$JB$7))</f>
        <v>0</v>
      </c>
      <c r="JG16" s="1">
        <f>IF($C16="",0,phi_i($IY$9,$IP$9,$IQ$9,O16,$JE$10,JA16,$JB$10))</f>
        <v>0</v>
      </c>
      <c r="JH16" s="1" t="e">
        <f t="shared" ca="1" si="79"/>
        <v>#NAME?</v>
      </c>
      <c r="JI16" s="1" t="e">
        <f t="shared" ca="1" si="80"/>
        <v>#NAME?</v>
      </c>
      <c r="JO16" s="89">
        <f t="shared" si="84"/>
        <v>0</v>
      </c>
      <c r="JZ16" s="1" t="str">
        <f>IF($C16="","",psi_i(a_iVal2,x_iVal2,$A16,Kij_Val,BIPset,$AC$3,COUNTA(Chem2)))</f>
        <v/>
      </c>
      <c r="KA16" s="1" t="str">
        <f>IF($C16="","",psi_i(a_iVal2,y_iVal12,$A16,Kij_Val,BIPset,$AC$3,COUNTA(Chem2)))</f>
        <v/>
      </c>
      <c r="KF16" s="1">
        <f>IF($C16="",0,phi_i($JY$7,$JP$7,$JQ$7,O16,$KE$7,JZ16,$KB$7))</f>
        <v>0</v>
      </c>
      <c r="KG16" s="1">
        <f>IF($C16="",0,phi_i($JY$9,$JP$9,$JQ$9,O16,$KE$10,KA16,$KB$10))</f>
        <v>0</v>
      </c>
      <c r="KH16" s="1" t="e">
        <f t="shared" ca="1" si="87"/>
        <v>#NAME?</v>
      </c>
      <c r="KI16" s="1" t="e">
        <f t="shared" ca="1" si="88"/>
        <v>#NAME?</v>
      </c>
      <c r="KO16" s="89">
        <f t="shared" si="92"/>
        <v>0</v>
      </c>
      <c r="KZ16" s="1" t="str">
        <f>IF($C16="","",psi_i(a_iVal2,x_iVal2,$A16,Kij_Val,BIPset,$AC$3,COUNTA(Chem2)))</f>
        <v/>
      </c>
      <c r="LA16" s="1" t="str">
        <f>IF($C16="","",psi_i(a_iVal2,y_iVal13,$A16,Kij_Val,BIPset,$AC$3,COUNTA(Chem2)))</f>
        <v/>
      </c>
      <c r="LF16" s="1">
        <f>IF($C16="",0,phi_i($KY$7,$KP$7,$KQ$7,O16,$LE$7,KZ16,$LB$7))</f>
        <v>0</v>
      </c>
      <c r="LG16" s="1">
        <f>IF($C16="",0,phi_i($KY$9,$KP$9,$KQ$9,O16,$LE$10,LA16,$LB$10))</f>
        <v>0</v>
      </c>
      <c r="LH16" s="1" t="e">
        <f t="shared" ca="1" si="95"/>
        <v>#NAME?</v>
      </c>
      <c r="LI16" s="1" t="e">
        <f t="shared" ca="1" si="96"/>
        <v>#NAME?</v>
      </c>
      <c r="LO16" s="89">
        <f t="shared" si="100"/>
        <v>0</v>
      </c>
      <c r="LZ16" s="1" t="str">
        <f>IF($C16="","",psi_i(a_iVal2,x_iVal2,$A16,Kij_Val,BIPset,$AC$3,COUNTA(Chem2)))</f>
        <v/>
      </c>
      <c r="MA16" s="1" t="str">
        <f>IF($C16="","",psi_i(a_iVal2,y_iVal14,$A16,Kij_Val,BIPset,$AC$3,COUNTA(Chem2)))</f>
        <v/>
      </c>
      <c r="MF16" s="1">
        <f>IF($C16="",0,phi_i($LY$7,$LP$7,$LQ$7,O16,$ME$7,LZ16,$MB$7))</f>
        <v>0</v>
      </c>
      <c r="MG16" s="1">
        <f>IF($C16="",0,phi_i($LY$9,$LP$9,$LQ$9,O16,$ME$10,MA16,$MB$10))</f>
        <v>0</v>
      </c>
      <c r="MH16" s="1" t="e">
        <f t="shared" ca="1" si="103"/>
        <v>#NAME?</v>
      </c>
      <c r="MI16" s="1" t="e">
        <f t="shared" ca="1" si="104"/>
        <v>#NAME?</v>
      </c>
      <c r="MO16" s="89">
        <f t="shared" si="108"/>
        <v>0</v>
      </c>
      <c r="MZ16" s="1" t="str">
        <f>IF($C16="","",psi_i(a_iVal2,x_iVal2,$A16,Kij_Val,BIPset,$AC$3,COUNTA(Chem2)))</f>
        <v/>
      </c>
      <c r="NA16" s="1" t="str">
        <f>IF($C16="","",psi_i(a_iVal2,y_iVal15,$A16,Kij_Val,BIPset,$AC$3,COUNTA(Chem2)))</f>
        <v/>
      </c>
      <c r="NF16" s="1">
        <f>IF($C16="",0,phi_i($MY$7,$MP$7,$MQ$7,O16,$NE$7,MZ16,$NB$7))</f>
        <v>0</v>
      </c>
      <c r="NG16" s="1">
        <f>IF($C16="",0,phi_i($MY$9,$MP$9,$MQ$9,O16,$NE$10,NA16,$NB$10))</f>
        <v>0</v>
      </c>
      <c r="NH16" s="1" t="e">
        <f t="shared" ca="1" si="111"/>
        <v>#NAME?</v>
      </c>
      <c r="NI16" s="1" t="e">
        <f t="shared" ca="1" si="112"/>
        <v>#NAME?</v>
      </c>
      <c r="NO16" s="89">
        <f t="shared" si="116"/>
        <v>0</v>
      </c>
      <c r="NZ16" s="1" t="str">
        <f>IF($C16="","",psi_i(a_iVal2,x_iVal2,$A16,Kij_Val,BIPset,$AC$3,COUNTA(Chem2)))</f>
        <v/>
      </c>
      <c r="OA16" s="1" t="str">
        <f>IF($C16="","",psi_i(a_iVal2,y_iVal16,$A16,Kij_Val,BIPset,$AC$3,COUNTA(Chem2)))</f>
        <v/>
      </c>
      <c r="OF16" s="1">
        <f>IF($C16="",0,phi_i($NY$7,$NP$7,$NQ$7,O16,$OE$7,NZ16,$OB$7))</f>
        <v>0</v>
      </c>
      <c r="OG16" s="1">
        <f>IF($C16="",0,phi_i($NY$9,$NP$9,$NQ$9,O16,$OE$10,OA16,$OB$10))</f>
        <v>0</v>
      </c>
      <c r="OH16" s="1" t="e">
        <f t="shared" ca="1" si="119"/>
        <v>#NAME?</v>
      </c>
      <c r="OI16" s="1" t="e">
        <f t="shared" ca="1" si="120"/>
        <v>#NAME?</v>
      </c>
      <c r="OO16" s="89">
        <f t="shared" si="124"/>
        <v>0</v>
      </c>
      <c r="OZ16" s="1" t="str">
        <f>IF($C16="","",psi_i(a_iVal2,x_iVal2,$A16,Kij_Val,BIPset,$AC$3,COUNTA(Chem2)))</f>
        <v/>
      </c>
      <c r="PA16" s="1" t="str">
        <f>IF($C16="","",psi_i(a_iVal2,y_iVal17,$A16,Kij_Val,BIPset,$AC$3,COUNTA(Chem2)))</f>
        <v/>
      </c>
      <c r="PF16" s="1">
        <f>IF($C16="",0,phi_i($OY$7,$OP$7,$OQ$7,O16,$PE$7,OZ16,$PB$7))</f>
        <v>0</v>
      </c>
      <c r="PG16" s="1">
        <f>IF($C16="",0,phi_i($OY$9,$OP$9,$OQ$9,O16,$PE$10,PA16,$PB$10))</f>
        <v>0</v>
      </c>
      <c r="PH16" s="1" t="e">
        <f t="shared" ca="1" si="127"/>
        <v>#NAME?</v>
      </c>
      <c r="PI16" s="1" t="e">
        <f t="shared" ca="1" si="128"/>
        <v>#NAME?</v>
      </c>
      <c r="PO16" s="89">
        <f t="shared" si="132"/>
        <v>0</v>
      </c>
      <c r="PZ16" s="1" t="str">
        <f>IF($C16="","",psi_i(a_iVal2,x_iVal2,$A16,Kij_Val,BIPset,$AC$3,COUNTA(Chem2)))</f>
        <v/>
      </c>
      <c r="QA16" s="1" t="str">
        <f>IF($C16="","",psi_i(a_iVal2,y_iVal18,$A16,Kij_Val,BIPset,$AC$3,COUNTA(Chem2)))</f>
        <v/>
      </c>
      <c r="QF16" s="1">
        <f>IF($C16="",0,phi_i($PY$7,$PP$7,$PQ$7,O16,$QE$7,PZ16,$QB$7))</f>
        <v>0</v>
      </c>
      <c r="QG16" s="1">
        <f>IF($C16="",0,phi_i($PY$9,$PP$9,$PQ$9,O16,$QE$10,QA16,$QB$10))</f>
        <v>0</v>
      </c>
      <c r="QH16" s="1" t="e">
        <f t="shared" ca="1" si="135"/>
        <v>#NAME?</v>
      </c>
      <c r="QI16" s="1" t="e">
        <f t="shared" ca="1" si="136"/>
        <v>#NAME?</v>
      </c>
      <c r="QO16" s="89">
        <f t="shared" si="140"/>
        <v>0</v>
      </c>
    </row>
    <row r="17" spans="1:249">
      <c r="B17" s="119"/>
      <c r="C17" s="119"/>
      <c r="D17" s="119"/>
    </row>
    <row r="18" spans="1:249">
      <c r="B18" s="119"/>
      <c r="C18" s="119"/>
      <c r="D18" s="119"/>
    </row>
    <row r="19" spans="1:249">
      <c r="B19" s="119"/>
      <c r="C19" s="119"/>
      <c r="D19" s="119"/>
    </row>
    <row r="20" spans="1:249">
      <c r="B20" s="119"/>
      <c r="C20" s="119"/>
      <c r="D20" s="119"/>
    </row>
    <row r="21" spans="1:249">
      <c r="B21" s="119"/>
      <c r="C21" s="119"/>
      <c r="D21" s="119"/>
    </row>
    <row r="23" spans="1:249">
      <c r="B23" s="143" t="s">
        <v>0</v>
      </c>
      <c r="C23" s="143"/>
      <c r="D23" s="143"/>
    </row>
    <row r="24" spans="1:249">
      <c r="B24" s="2" t="s">
        <v>3</v>
      </c>
      <c r="C24" s="2" t="s">
        <v>4</v>
      </c>
      <c r="D24" s="2" t="s">
        <v>5</v>
      </c>
      <c r="H24" s="148" t="s">
        <v>208</v>
      </c>
      <c r="I24" s="148"/>
      <c r="J24" s="148"/>
      <c r="K24" s="148"/>
      <c r="L24" s="148"/>
    </row>
    <row r="25" spans="1:249">
      <c r="B25" s="18" t="str">
        <f>'Wilson BPDP'!B4</f>
        <v>Feed FR</v>
      </c>
      <c r="C25" s="18">
        <f>'Wilson BPDP'!C4</f>
        <v>100</v>
      </c>
      <c r="D25" s="18" t="str">
        <f>'Wilson BPDP'!D4</f>
        <v>mol/hr</v>
      </c>
    </row>
    <row r="26" spans="1:249">
      <c r="B26" s="18" t="str">
        <f>'Wilson BPDP'!B5</f>
        <v>Feed Temperature</v>
      </c>
      <c r="C26" s="18">
        <f>'Wilson BPDP'!C5</f>
        <v>300</v>
      </c>
      <c r="D26" s="18" t="str">
        <f>'Wilson BPDP'!D5</f>
        <v>K</v>
      </c>
      <c r="J26" s="68" t="s">
        <v>192</v>
      </c>
      <c r="M26" s="68" t="s">
        <v>209</v>
      </c>
      <c r="Z26" t="s">
        <v>92</v>
      </c>
      <c r="AA26" t="s">
        <v>93</v>
      </c>
    </row>
    <row r="27" spans="1:249">
      <c r="B27" s="18" t="str">
        <f>'Wilson BPDP'!B6</f>
        <v>Tank Pressure</v>
      </c>
      <c r="C27" s="18">
        <f>'Wilson BPDP'!C6</f>
        <v>101</v>
      </c>
      <c r="D27" s="18" t="str">
        <f>'Wilson BPDP'!D6</f>
        <v>kPa</v>
      </c>
      <c r="E27" s="50" t="s">
        <v>80</v>
      </c>
      <c r="F27" s="50" t="s">
        <v>81</v>
      </c>
      <c r="G27" s="50" t="s">
        <v>82</v>
      </c>
      <c r="H27" s="50" t="s">
        <v>83</v>
      </c>
      <c r="I27" s="50" t="s">
        <v>125</v>
      </c>
      <c r="J27" s="103" t="s">
        <v>197</v>
      </c>
      <c r="K27" s="103" t="s">
        <v>210</v>
      </c>
      <c r="L27" s="53" t="s">
        <v>20</v>
      </c>
      <c r="M27" s="53" t="s">
        <v>195</v>
      </c>
      <c r="N27" s="104" t="s">
        <v>131</v>
      </c>
      <c r="O27" s="104" t="s">
        <v>132</v>
      </c>
      <c r="P27" s="64" t="s">
        <v>133</v>
      </c>
      <c r="Q27" s="64" t="s">
        <v>134</v>
      </c>
      <c r="R27" s="117" t="s">
        <v>137</v>
      </c>
      <c r="S27" s="117" t="s">
        <v>138</v>
      </c>
      <c r="T27" s="117" t="s">
        <v>139</v>
      </c>
      <c r="U27" s="117" t="s">
        <v>140</v>
      </c>
      <c r="V27" s="53" t="s">
        <v>141</v>
      </c>
      <c r="W27" s="53" t="s">
        <v>142</v>
      </c>
      <c r="X27" s="53" t="s">
        <v>143</v>
      </c>
      <c r="Y27" s="81" t="s">
        <v>144</v>
      </c>
      <c r="Z27" s="84" t="s">
        <v>145</v>
      </c>
      <c r="AA27" s="84" t="s">
        <v>145</v>
      </c>
      <c r="AB27" s="64" t="s">
        <v>146</v>
      </c>
      <c r="AC27" s="84" t="s">
        <v>147</v>
      </c>
      <c r="AD27" s="85" t="s">
        <v>148</v>
      </c>
      <c r="AE27" s="85" t="s">
        <v>149</v>
      </c>
      <c r="AF27" s="85" t="s">
        <v>150</v>
      </c>
      <c r="AG27" s="85" t="s">
        <v>151</v>
      </c>
      <c r="AH27" s="85" t="s">
        <v>198</v>
      </c>
      <c r="AI27" s="85" t="s">
        <v>199</v>
      </c>
      <c r="AJ27" s="87" t="s">
        <v>159</v>
      </c>
      <c r="AK27" s="87" t="s">
        <v>200</v>
      </c>
      <c r="AL27" s="87" t="s">
        <v>201</v>
      </c>
      <c r="AM27" s="87" t="s">
        <v>202</v>
      </c>
      <c r="AN27" s="87" t="s">
        <v>203</v>
      </c>
      <c r="AO27" s="88" t="s">
        <v>211</v>
      </c>
      <c r="AP27" s="64" t="s">
        <v>133</v>
      </c>
      <c r="AQ27" s="64" t="s">
        <v>134</v>
      </c>
      <c r="AR27" s="117" t="s">
        <v>137</v>
      </c>
      <c r="AS27" s="117" t="s">
        <v>138</v>
      </c>
      <c r="AT27" s="117" t="s">
        <v>139</v>
      </c>
      <c r="AU27" s="117" t="s">
        <v>140</v>
      </c>
      <c r="AV27" s="53" t="s">
        <v>141</v>
      </c>
      <c r="AW27" s="53" t="s">
        <v>142</v>
      </c>
      <c r="AX27" s="53" t="s">
        <v>143</v>
      </c>
      <c r="AY27" s="81" t="s">
        <v>144</v>
      </c>
      <c r="AZ27" s="84" t="s">
        <v>145</v>
      </c>
      <c r="BA27" s="84" t="s">
        <v>145</v>
      </c>
      <c r="BB27" s="64" t="s">
        <v>146</v>
      </c>
      <c r="BC27" s="84" t="s">
        <v>147</v>
      </c>
      <c r="BD27" s="85" t="s">
        <v>148</v>
      </c>
      <c r="BE27" s="85" t="s">
        <v>149</v>
      </c>
      <c r="BF27" s="85" t="s">
        <v>150</v>
      </c>
      <c r="BG27" s="85" t="s">
        <v>151</v>
      </c>
      <c r="BH27" s="85" t="s">
        <v>198</v>
      </c>
      <c r="BI27" s="85" t="s">
        <v>199</v>
      </c>
      <c r="BJ27" s="87" t="s">
        <v>159</v>
      </c>
      <c r="BK27" s="87" t="s">
        <v>200</v>
      </c>
      <c r="BL27" s="87" t="s">
        <v>201</v>
      </c>
      <c r="BM27" s="87" t="s">
        <v>202</v>
      </c>
      <c r="BN27" s="87" t="s">
        <v>203</v>
      </c>
      <c r="BO27" s="88" t="s">
        <v>211</v>
      </c>
      <c r="BP27" s="64" t="s">
        <v>133</v>
      </c>
      <c r="BQ27" s="64" t="s">
        <v>134</v>
      </c>
      <c r="BR27" s="117" t="s">
        <v>137</v>
      </c>
      <c r="BS27" s="117" t="s">
        <v>138</v>
      </c>
      <c r="BT27" s="117" t="s">
        <v>139</v>
      </c>
      <c r="BU27" s="117" t="s">
        <v>140</v>
      </c>
      <c r="BV27" s="53" t="s">
        <v>141</v>
      </c>
      <c r="BW27" s="53" t="s">
        <v>142</v>
      </c>
      <c r="BX27" s="53" t="s">
        <v>143</v>
      </c>
      <c r="BY27" s="81" t="s">
        <v>144</v>
      </c>
      <c r="BZ27" s="84" t="s">
        <v>145</v>
      </c>
      <c r="CA27" s="84" t="s">
        <v>145</v>
      </c>
      <c r="CB27" s="64" t="s">
        <v>146</v>
      </c>
      <c r="CC27" s="84" t="s">
        <v>147</v>
      </c>
      <c r="CD27" s="85" t="s">
        <v>148</v>
      </c>
      <c r="CE27" s="85" t="s">
        <v>149</v>
      </c>
      <c r="CF27" s="85" t="s">
        <v>150</v>
      </c>
      <c r="CG27" s="85" t="s">
        <v>151</v>
      </c>
      <c r="CH27" s="85" t="s">
        <v>198</v>
      </c>
      <c r="CI27" s="85" t="s">
        <v>199</v>
      </c>
      <c r="CJ27" s="87" t="s">
        <v>159</v>
      </c>
      <c r="CK27" s="87" t="s">
        <v>200</v>
      </c>
      <c r="CL27" s="87" t="s">
        <v>201</v>
      </c>
      <c r="CM27" s="87" t="s">
        <v>202</v>
      </c>
      <c r="CN27" s="87" t="s">
        <v>203</v>
      </c>
      <c r="CO27" s="88" t="s">
        <v>211</v>
      </c>
      <c r="CP27" s="64" t="s">
        <v>133</v>
      </c>
      <c r="CQ27" s="64" t="s">
        <v>134</v>
      </c>
      <c r="CR27" s="117" t="s">
        <v>137</v>
      </c>
      <c r="CS27" s="117" t="s">
        <v>138</v>
      </c>
      <c r="CT27" s="117" t="s">
        <v>139</v>
      </c>
      <c r="CU27" s="117" t="s">
        <v>140</v>
      </c>
      <c r="CV27" s="53" t="s">
        <v>141</v>
      </c>
      <c r="CW27" s="53" t="s">
        <v>142</v>
      </c>
      <c r="CX27" s="53" t="s">
        <v>143</v>
      </c>
      <c r="CY27" s="81" t="s">
        <v>144</v>
      </c>
      <c r="CZ27" s="84" t="s">
        <v>145</v>
      </c>
      <c r="DA27" s="84" t="s">
        <v>145</v>
      </c>
      <c r="DB27" s="64" t="s">
        <v>146</v>
      </c>
      <c r="DC27" s="84" t="s">
        <v>147</v>
      </c>
      <c r="DD27" s="85" t="s">
        <v>148</v>
      </c>
      <c r="DE27" s="85" t="s">
        <v>149</v>
      </c>
      <c r="DF27" s="85" t="s">
        <v>150</v>
      </c>
      <c r="DG27" s="85" t="s">
        <v>151</v>
      </c>
      <c r="DH27" s="85" t="s">
        <v>198</v>
      </c>
      <c r="DI27" s="85" t="s">
        <v>199</v>
      </c>
      <c r="DJ27" s="87" t="s">
        <v>159</v>
      </c>
      <c r="DK27" s="87" t="s">
        <v>200</v>
      </c>
      <c r="DL27" s="87" t="s">
        <v>201</v>
      </c>
      <c r="DM27" s="87" t="s">
        <v>202</v>
      </c>
      <c r="DN27" s="87" t="s">
        <v>203</v>
      </c>
      <c r="DO27" s="88" t="s">
        <v>211</v>
      </c>
      <c r="DP27" s="64" t="s">
        <v>133</v>
      </c>
      <c r="DQ27" s="64" t="s">
        <v>134</v>
      </c>
      <c r="DR27" s="117" t="s">
        <v>137</v>
      </c>
      <c r="DS27" s="117" t="s">
        <v>138</v>
      </c>
      <c r="DT27" s="117" t="s">
        <v>139</v>
      </c>
      <c r="DU27" s="117" t="s">
        <v>140</v>
      </c>
      <c r="DV27" s="53" t="s">
        <v>141</v>
      </c>
      <c r="DW27" s="53" t="s">
        <v>142</v>
      </c>
      <c r="DX27" s="53" t="s">
        <v>143</v>
      </c>
      <c r="DY27" s="81" t="s">
        <v>144</v>
      </c>
      <c r="DZ27" s="84" t="s">
        <v>145</v>
      </c>
      <c r="EA27" s="84" t="s">
        <v>145</v>
      </c>
      <c r="EB27" s="64" t="s">
        <v>146</v>
      </c>
      <c r="EC27" s="84" t="s">
        <v>147</v>
      </c>
      <c r="ED27" s="85" t="s">
        <v>148</v>
      </c>
      <c r="EE27" s="85" t="s">
        <v>149</v>
      </c>
      <c r="EF27" s="85" t="s">
        <v>150</v>
      </c>
      <c r="EG27" s="85" t="s">
        <v>151</v>
      </c>
      <c r="EH27" s="85" t="s">
        <v>198</v>
      </c>
      <c r="EI27" s="85" t="s">
        <v>199</v>
      </c>
      <c r="EJ27" s="87" t="s">
        <v>159</v>
      </c>
      <c r="EK27" s="87" t="s">
        <v>200</v>
      </c>
      <c r="EL27" s="87" t="s">
        <v>201</v>
      </c>
      <c r="EM27" s="87" t="s">
        <v>202</v>
      </c>
      <c r="EN27" s="87" t="s">
        <v>203</v>
      </c>
      <c r="EO27" s="88" t="s">
        <v>211</v>
      </c>
      <c r="EP27" s="64" t="s">
        <v>133</v>
      </c>
      <c r="EQ27" s="64" t="s">
        <v>134</v>
      </c>
      <c r="ER27" s="117" t="s">
        <v>137</v>
      </c>
      <c r="ES27" s="117" t="s">
        <v>138</v>
      </c>
      <c r="ET27" s="117" t="s">
        <v>139</v>
      </c>
      <c r="EU27" s="117" t="s">
        <v>140</v>
      </c>
      <c r="EV27" s="53" t="s">
        <v>141</v>
      </c>
      <c r="EW27" s="53" t="s">
        <v>142</v>
      </c>
      <c r="EX27" s="53" t="s">
        <v>143</v>
      </c>
      <c r="EY27" s="81" t="s">
        <v>144</v>
      </c>
      <c r="EZ27" s="84" t="s">
        <v>145</v>
      </c>
      <c r="FA27" s="84" t="s">
        <v>145</v>
      </c>
      <c r="FB27" s="64" t="s">
        <v>146</v>
      </c>
      <c r="FC27" s="84" t="s">
        <v>147</v>
      </c>
      <c r="FD27" s="85" t="s">
        <v>148</v>
      </c>
      <c r="FE27" s="85" t="s">
        <v>149</v>
      </c>
      <c r="FF27" s="85" t="s">
        <v>150</v>
      </c>
      <c r="FG27" s="85" t="s">
        <v>151</v>
      </c>
      <c r="FH27" s="85" t="s">
        <v>198</v>
      </c>
      <c r="FI27" s="85" t="s">
        <v>199</v>
      </c>
      <c r="FJ27" s="87" t="s">
        <v>159</v>
      </c>
      <c r="FK27" s="87" t="s">
        <v>200</v>
      </c>
      <c r="FL27" s="87" t="s">
        <v>201</v>
      </c>
      <c r="FM27" s="87" t="s">
        <v>202</v>
      </c>
      <c r="FN27" s="87" t="s">
        <v>203</v>
      </c>
      <c r="FO27" s="88" t="s">
        <v>211</v>
      </c>
      <c r="FP27" s="64" t="s">
        <v>133</v>
      </c>
      <c r="FQ27" s="64" t="s">
        <v>134</v>
      </c>
      <c r="FR27" s="117" t="s">
        <v>137</v>
      </c>
      <c r="FS27" s="117" t="s">
        <v>138</v>
      </c>
      <c r="FT27" s="117" t="s">
        <v>139</v>
      </c>
      <c r="FU27" s="117" t="s">
        <v>140</v>
      </c>
      <c r="FV27" s="53" t="s">
        <v>141</v>
      </c>
      <c r="FW27" s="53" t="s">
        <v>142</v>
      </c>
      <c r="FX27" s="53" t="s">
        <v>143</v>
      </c>
      <c r="FY27" s="81" t="s">
        <v>144</v>
      </c>
      <c r="FZ27" s="84" t="s">
        <v>145</v>
      </c>
      <c r="GA27" s="84" t="s">
        <v>145</v>
      </c>
      <c r="GB27" s="64" t="s">
        <v>146</v>
      </c>
      <c r="GC27" s="84" t="s">
        <v>147</v>
      </c>
      <c r="GD27" s="85" t="s">
        <v>148</v>
      </c>
      <c r="GE27" s="85" t="s">
        <v>149</v>
      </c>
      <c r="GF27" s="85" t="s">
        <v>150</v>
      </c>
      <c r="GG27" s="85" t="s">
        <v>151</v>
      </c>
      <c r="GH27" s="85" t="s">
        <v>198</v>
      </c>
      <c r="GI27" s="85" t="s">
        <v>199</v>
      </c>
      <c r="GJ27" s="87" t="s">
        <v>159</v>
      </c>
      <c r="GK27" s="87" t="s">
        <v>200</v>
      </c>
      <c r="GL27" s="87" t="s">
        <v>201</v>
      </c>
      <c r="GM27" s="87" t="s">
        <v>202</v>
      </c>
      <c r="GN27" s="87" t="s">
        <v>203</v>
      </c>
      <c r="GO27" s="88" t="s">
        <v>211</v>
      </c>
      <c r="GP27" s="64" t="s">
        <v>133</v>
      </c>
      <c r="GQ27" s="64" t="s">
        <v>134</v>
      </c>
      <c r="GR27" s="117" t="s">
        <v>137</v>
      </c>
      <c r="GS27" s="117" t="s">
        <v>138</v>
      </c>
      <c r="GT27" s="117" t="s">
        <v>139</v>
      </c>
      <c r="GU27" s="117" t="s">
        <v>140</v>
      </c>
      <c r="GV27" s="53" t="s">
        <v>141</v>
      </c>
      <c r="GW27" s="53" t="s">
        <v>142</v>
      </c>
      <c r="GX27" s="53" t="s">
        <v>143</v>
      </c>
      <c r="GY27" s="81" t="s">
        <v>144</v>
      </c>
      <c r="GZ27" s="84" t="s">
        <v>145</v>
      </c>
      <c r="HA27" s="84" t="s">
        <v>145</v>
      </c>
      <c r="HB27" s="64" t="s">
        <v>146</v>
      </c>
      <c r="HC27" s="84" t="s">
        <v>147</v>
      </c>
      <c r="HD27" s="85" t="s">
        <v>148</v>
      </c>
      <c r="HE27" s="85" t="s">
        <v>149</v>
      </c>
      <c r="HF27" s="85" t="s">
        <v>150</v>
      </c>
      <c r="HG27" s="85" t="s">
        <v>151</v>
      </c>
      <c r="HH27" s="85" t="s">
        <v>198</v>
      </c>
      <c r="HI27" s="85" t="s">
        <v>199</v>
      </c>
      <c r="HJ27" s="87" t="s">
        <v>159</v>
      </c>
      <c r="HK27" s="87" t="s">
        <v>200</v>
      </c>
      <c r="HL27" s="87" t="s">
        <v>201</v>
      </c>
      <c r="HM27" s="87" t="s">
        <v>202</v>
      </c>
      <c r="HN27" s="87" t="s">
        <v>203</v>
      </c>
      <c r="HO27" s="88" t="s">
        <v>211</v>
      </c>
      <c r="HP27" s="64" t="s">
        <v>133</v>
      </c>
      <c r="HQ27" s="64" t="s">
        <v>134</v>
      </c>
      <c r="HR27" s="117" t="s">
        <v>137</v>
      </c>
      <c r="HS27" s="117" t="s">
        <v>138</v>
      </c>
      <c r="HT27" s="117" t="s">
        <v>139</v>
      </c>
      <c r="HU27" s="117" t="s">
        <v>140</v>
      </c>
      <c r="HV27" s="53" t="s">
        <v>141</v>
      </c>
      <c r="HW27" s="53" t="s">
        <v>142</v>
      </c>
      <c r="HX27" s="53" t="s">
        <v>143</v>
      </c>
      <c r="HY27" s="81" t="s">
        <v>144</v>
      </c>
      <c r="HZ27" s="84" t="s">
        <v>145</v>
      </c>
      <c r="IA27" s="84" t="s">
        <v>145</v>
      </c>
      <c r="IB27" s="64" t="s">
        <v>146</v>
      </c>
      <c r="IC27" s="84" t="s">
        <v>147</v>
      </c>
      <c r="ID27" s="85" t="s">
        <v>148</v>
      </c>
      <c r="IE27" s="85" t="s">
        <v>149</v>
      </c>
      <c r="IF27" s="85" t="s">
        <v>150</v>
      </c>
      <c r="IG27" s="85" t="s">
        <v>151</v>
      </c>
      <c r="IH27" s="85" t="s">
        <v>198</v>
      </c>
      <c r="II27" s="85" t="s">
        <v>199</v>
      </c>
      <c r="IJ27" s="87" t="s">
        <v>159</v>
      </c>
      <c r="IK27" s="87" t="s">
        <v>200</v>
      </c>
      <c r="IL27" s="87" t="s">
        <v>201</v>
      </c>
      <c r="IM27" s="87" t="s">
        <v>202</v>
      </c>
      <c r="IN27" s="87" t="s">
        <v>203</v>
      </c>
      <c r="IO27" s="88" t="s">
        <v>211</v>
      </c>
    </row>
    <row r="28" spans="1:249">
      <c r="A28">
        <v>1</v>
      </c>
      <c r="B28" s="18" t="str">
        <f>'Wilson BPDP'!B7</f>
        <v xml:space="preserve">MF Ethane </v>
      </c>
      <c r="C28" s="18">
        <f>'Wilson BPDP'!C7</f>
        <v>0.2</v>
      </c>
      <c r="D28" s="18" t="str">
        <f>'Wilson BPDP'!D7</f>
        <v>-</v>
      </c>
      <c r="E28" s="119">
        <f>Wilson!E7</f>
        <v>305.32</v>
      </c>
      <c r="F28" s="119">
        <f>Wilson!F7</f>
        <v>4850</v>
      </c>
      <c r="G28" s="119">
        <f>Wilson!G7</f>
        <v>0.27900000000000003</v>
      </c>
      <c r="H28" s="119">
        <f>Wilson!H7</f>
        <v>9.8000000000000004E-2</v>
      </c>
      <c r="I28" s="119">
        <f>$C$26/E28</f>
        <v>0.98257565832569105</v>
      </c>
      <c r="J28" s="119">
        <f>C28</f>
        <v>0.2</v>
      </c>
      <c r="K28">
        <v>3</v>
      </c>
      <c r="L28" t="e">
        <f ca="1">'Wilson BPDP'!X7</f>
        <v>#NAME?</v>
      </c>
      <c r="M28" t="e">
        <f ca="1">J28/L28</f>
        <v>#NAME?</v>
      </c>
      <c r="N28" t="e">
        <f ca="1">a_i($E28,$F28)*alpha($H28,$I28)</f>
        <v>#NAME?</v>
      </c>
      <c r="O28" t="e">
        <f t="shared" ref="O28:O33" ca="1" si="142">b_i($E28,$F28)</f>
        <v>#NAME?</v>
      </c>
      <c r="P28" s="1" t="e">
        <f ca="1">INDEX(AB_Calc(a_iVal3, b_iVal3,x_iVal3,Kij_Val,COUNTA(Chem3),$AC$3,$C$26,$K$28,BIPset),1)</f>
        <v>#NAME?</v>
      </c>
      <c r="Q28" s="1" t="e">
        <f ca="1">INDEX(AB_Calc(a_iVal3, b_iVal3,x_iVal3,Kij_Val,COUNTA(Chem3),$AC$3,$C$26,$K$28,BIPset),2)</f>
        <v>#NAME?</v>
      </c>
      <c r="R28">
        <v>1</v>
      </c>
      <c r="S28" t="e">
        <f ca="1">-(1-Q28)</f>
        <v>#NAME?</v>
      </c>
      <c r="T28" t="e">
        <f ca="1">(P28-(2*Q28)-(3*Q28^2))</f>
        <v>#NAME?</v>
      </c>
      <c r="U28" t="e">
        <f ca="1">-((P28*Q28)-(Q28^2)-(Q28^3))</f>
        <v>#NAME?</v>
      </c>
      <c r="V28" t="b">
        <f ca="1">IFERROR(INDEX(CardanoMethod(R28:U28),1),FALSE)</f>
        <v>0</v>
      </c>
      <c r="W28" t="b">
        <f ca="1">IFERROR(INDEX(CardanoMethod(R28:U28),2),FALSE)</f>
        <v>0</v>
      </c>
      <c r="X28" t="b">
        <f ca="1">IFERROR(INDEX(CardanoMethod(R28:U28),3),FALSE)</f>
        <v>0</v>
      </c>
      <c r="Y28">
        <f ca="1">MIN(V28:X28)</f>
        <v>0</v>
      </c>
      <c r="Z28" s="1" t="e">
        <f ca="1">IF($C28="","",psi_i(a_iVal3,x_iVal3,$A28,Kij_Val,BIPset,$AC$3,COUNTA(Chem3)))</f>
        <v>#NAME?</v>
      </c>
      <c r="AA28" s="1" t="e">
        <f ca="1">IF($C28="","",psi_i(a_iVal3,y_iValDP,$A28,Kij_Val,BIPset,$AC$3,COUNTA(Chem3)))</f>
        <v>#NAME?</v>
      </c>
      <c r="AB28" s="1" t="e">
        <f ca="1">psiSUM(a_iVal3,x_iVal3,Kij_Val,BIPset,$AE$3,COUNTA(Chem3))</f>
        <v>#NAME?</v>
      </c>
      <c r="AC28" s="1" t="e">
        <f ca="1">M28*$O28</f>
        <v>#NAME?</v>
      </c>
      <c r="AD28" s="1" t="e">
        <f ca="1">$J28*$O28</f>
        <v>#NAME?</v>
      </c>
      <c r="AE28" s="1" t="e">
        <f ca="1">SUM(AC28:AC37)</f>
        <v>#NAME?</v>
      </c>
      <c r="AF28" s="1" t="e">
        <f ca="1">IF($C28="",0,phi_i($Y$28,$P$28,$Q$28,O28,$AE$28,Z28,$AB$28))</f>
        <v>#NAME?</v>
      </c>
      <c r="AG28" s="1" t="e">
        <f ca="1">IF($C28="",0,phi_i($Y$30,$P$30,$Q$30,O28,$AE$31,AA28,$AB$31))</f>
        <v>#NAME?</v>
      </c>
      <c r="AH28" s="1" t="e">
        <f ca="1">AF28*M28*$K$28</f>
        <v>#NAME?</v>
      </c>
      <c r="AI28" s="1" t="e">
        <f ca="1">AG28*$J28*$K$28</f>
        <v>#NAME?</v>
      </c>
      <c r="AJ28">
        <f ca="1">IFERROR((1-(AH28/AI28))^2,0)</f>
        <v>0</v>
      </c>
      <c r="AK28">
        <f ca="1">SUM(AJ28:AJ37)</f>
        <v>0</v>
      </c>
      <c r="AL28" t="e">
        <f ca="1">AI28/AF28</f>
        <v>#NAME?</v>
      </c>
      <c r="AM28" t="e">
        <f ca="1">SUM(AL28:AL33)</f>
        <v>#NAME?</v>
      </c>
      <c r="AN28" t="e">
        <f ca="1">AF28/AG28</f>
        <v>#NAME?</v>
      </c>
      <c r="AO28" s="89" t="e">
        <f ca="1">$J28/AN28</f>
        <v>#NAME?</v>
      </c>
      <c r="AP28" s="1" t="e">
        <f ca="1">INDEX(AB_Calc(a_iVal3, b_iVal3,x_iVal4,Kij_Val,COUNTA(Chem3),$AC$3,$C$26,$AM$28,BIPset),1)</f>
        <v>#NAME?</v>
      </c>
      <c r="AQ28" s="1" t="e">
        <f ca="1">INDEX(AB_Calc(a_iVal3, b_iVal3,x_iVal4,Kij_Val,COUNTA(Chem3),$AC$3,$C$26,$AM$28,BIPset),2)</f>
        <v>#NAME?</v>
      </c>
      <c r="AR28">
        <v>1</v>
      </c>
      <c r="AS28" t="e">
        <f ca="1">-(1-AQ28)</f>
        <v>#NAME?</v>
      </c>
      <c r="AT28" t="e">
        <f ca="1">(AP28-(2*AQ28)-(3*AQ28^2))</f>
        <v>#NAME?</v>
      </c>
      <c r="AU28" t="e">
        <f ca="1">-((AP28*AQ28)-(AQ28^2)-(AQ28^3))</f>
        <v>#NAME?</v>
      </c>
      <c r="AV28" t="b">
        <f ca="1">IFERROR(INDEX(CardanoMethod(AR28:AU28),1),FALSE)</f>
        <v>0</v>
      </c>
      <c r="AW28" t="b">
        <f ca="1">IFERROR(INDEX(CardanoMethod(AR28:AU28),2),FALSE)</f>
        <v>0</v>
      </c>
      <c r="AX28" t="b">
        <f ca="1">IFERROR(INDEX(CardanoMethod(AR28:AU28),3),FALSE)</f>
        <v>0</v>
      </c>
      <c r="AY28">
        <f ca="1">MIN(AV28:AX28)</f>
        <v>0</v>
      </c>
      <c r="AZ28" s="1" t="e">
        <f ca="1">IF($C28="","",psi_i(a_iVal3,x_iVal4,$A28,Kij_Val,BIPset,$AC$3,COUNTA(Chem3)))</f>
        <v>#NAME?</v>
      </c>
      <c r="BA28" s="1" t="e">
        <f ca="1">IF($C28="","",psi_i(a_iVal3,y_iValDP,$A28,Kij_Val,BIPset,$AC$3,COUNTA(Chem3)))</f>
        <v>#NAME?</v>
      </c>
      <c r="BB28" s="1" t="e">
        <f ca="1">psiSUM(a_iVal3,x_iVal4,Kij_Val,BIPset,$AE$3,COUNTA(Chem3))</f>
        <v>#NAME?</v>
      </c>
      <c r="BC28" s="1" t="e">
        <f ca="1">AO28*$O28</f>
        <v>#NAME?</v>
      </c>
      <c r="BD28" s="1" t="e">
        <f ca="1">$J28*$O28</f>
        <v>#NAME?</v>
      </c>
      <c r="BE28" s="1" t="e">
        <f ca="1">SUM(BC28:BC37)</f>
        <v>#NAME?</v>
      </c>
      <c r="BF28" s="1" t="e">
        <f ca="1">IF($C28="",0,phi_i($AY$28,$AP$28,$AQ$28,O28,$BE$28,AZ28,$BB$28))</f>
        <v>#NAME?</v>
      </c>
      <c r="BG28" s="1" t="e">
        <f ca="1">IF($C28="",0,phi_i($AY$30,$AP$30,$AQ$30,O28,$BE$31,BA28,$BB$31))</f>
        <v>#NAME?</v>
      </c>
      <c r="BH28" s="1" t="e">
        <f ca="1">BF28*AO28*$AM$28</f>
        <v>#NAME?</v>
      </c>
      <c r="BI28" s="1" t="e">
        <f ca="1">BG28*$J28*$AM$28</f>
        <v>#NAME?</v>
      </c>
      <c r="BJ28">
        <f ca="1">IFERROR((1-(BH28/BI28))^2,0)</f>
        <v>0</v>
      </c>
      <c r="BK28">
        <f ca="1">SUM(BJ28:BJ37)</f>
        <v>0</v>
      </c>
      <c r="BL28" t="e">
        <f ca="1">BI28/BF28</f>
        <v>#NAME?</v>
      </c>
      <c r="BM28" t="e">
        <f ca="1">SUM(BL28:BL33)</f>
        <v>#NAME?</v>
      </c>
      <c r="BN28" t="e">
        <f ca="1">BF28/BG28</f>
        <v>#NAME?</v>
      </c>
      <c r="BO28" s="89" t="e">
        <f ca="1">$J28/BN28</f>
        <v>#NAME?</v>
      </c>
      <c r="BP28" s="1" t="e">
        <f ca="1">INDEX(AB_Calc(a_iVal3, b_iVal3,x_iVal5,Kij_Val,COUNTA(Chem3),$AC$3,$C$26,$BM$28,BIPset),1)</f>
        <v>#NAME?</v>
      </c>
      <c r="BQ28" s="1" t="e">
        <f ca="1">INDEX(AB_Calc(a_iVal3, b_iVal3,x_iVal5,Kij_Val,COUNTA(Chem3),$AC$3,$C$26,$BM$28,BIPset),2)</f>
        <v>#NAME?</v>
      </c>
      <c r="BR28">
        <v>1</v>
      </c>
      <c r="BS28" t="e">
        <f ca="1">-(1-BQ28)</f>
        <v>#NAME?</v>
      </c>
      <c r="BT28" t="e">
        <f ca="1">(BP28-(2*BQ28)-(3*BQ28^2))</f>
        <v>#NAME?</v>
      </c>
      <c r="BU28" t="e">
        <f ca="1">-((BP28*BQ28)-(BQ28^2)-(BQ28^3))</f>
        <v>#NAME?</v>
      </c>
      <c r="BV28" t="b">
        <f ca="1">IFERROR(INDEX(CardanoMethod(BR28:BU28),1),FALSE)</f>
        <v>0</v>
      </c>
      <c r="BW28" t="b">
        <f ca="1">IFERROR(INDEX(CardanoMethod(BR28:BU28),2),FALSE)</f>
        <v>0</v>
      </c>
      <c r="BX28" t="b">
        <f ca="1">IFERROR(INDEX(CardanoMethod(BR28:BU28),3),FALSE)</f>
        <v>0</v>
      </c>
      <c r="BY28">
        <f ca="1">MIN(BV28:BX28)</f>
        <v>0</v>
      </c>
      <c r="BZ28" s="1" t="e">
        <f ca="1">IF($C28="","",psi_i(a_iVal3,x_iVal5,$A28,Kij_Val,BIPset,$AC$3,COUNTA(Chem3)))</f>
        <v>#NAME?</v>
      </c>
      <c r="CA28" s="1" t="e">
        <f ca="1">IF($C28="","",psi_i(a_iVal3,y_iValDP,$A28,Kij_Val,BIPset,$AC$3,COUNTA(Chem3)))</f>
        <v>#NAME?</v>
      </c>
      <c r="CB28" s="1" t="e">
        <f ca="1">psiSUM(a_iVal3,x_iVal5,Kij_Val,BIPset,$AE$3,COUNTA(Chem3))</f>
        <v>#NAME?</v>
      </c>
      <c r="CC28" s="1" t="e">
        <f ca="1">BO28*$O28</f>
        <v>#NAME?</v>
      </c>
      <c r="CD28" s="1" t="e">
        <f ca="1">$J28*$O28</f>
        <v>#NAME?</v>
      </c>
      <c r="CE28" s="1" t="e">
        <f ca="1">SUM(CC28:CC37)</f>
        <v>#NAME?</v>
      </c>
      <c r="CF28" s="1" t="e">
        <f ca="1">IF($C28="",0,phi_i($BY$28,$BP$28,$BQ$28,O28,$CE$28,BZ28,$CB$28))</f>
        <v>#NAME?</v>
      </c>
      <c r="CG28" s="1" t="e">
        <f ca="1">IF($C28="",0,phi_i($BY$30,$BP$30,$BQ$30,O28,$CE$31,CA28,$CB$31))</f>
        <v>#NAME?</v>
      </c>
      <c r="CH28" s="1" t="e">
        <f ca="1">CF28*BO28*$BM$28</f>
        <v>#NAME?</v>
      </c>
      <c r="CI28" s="1" t="e">
        <f ca="1">CG28*$J28*$BM$28</f>
        <v>#NAME?</v>
      </c>
      <c r="CJ28">
        <f ca="1">IFERROR((1-(CH28/CI28))^2,0)</f>
        <v>0</v>
      </c>
      <c r="CK28">
        <f ca="1">SUM(CJ28:CJ37)</f>
        <v>0</v>
      </c>
      <c r="CL28" t="e">
        <f ca="1">CI28/CF28</f>
        <v>#NAME?</v>
      </c>
      <c r="CM28" t="e">
        <f ca="1">SUM(CL28:CL33)</f>
        <v>#NAME?</v>
      </c>
      <c r="CN28" t="e">
        <f ca="1">CF28/CG28</f>
        <v>#NAME?</v>
      </c>
      <c r="CO28" s="89" t="e">
        <f ca="1">$J28/CN28</f>
        <v>#NAME?</v>
      </c>
      <c r="CP28" s="1" t="e">
        <f ca="1">INDEX(AB_Calc(a_iVal3, b_iVal3,x_iVal6,Kij_Val,COUNTA(Chem3),$AC$3,$C$26,$CM$28,BIPset),1)</f>
        <v>#NAME?</v>
      </c>
      <c r="CQ28" s="1" t="e">
        <f ca="1">INDEX(AB_Calc(a_iVal3, b_iVal3,x_iVal6,Kij_Val,COUNTA(Chem3),$AC$3,$C$26,$CM$28,BIPset),2)</f>
        <v>#NAME?</v>
      </c>
      <c r="CR28">
        <v>1</v>
      </c>
      <c r="CS28" t="e">
        <f ca="1">-(1-CQ28)</f>
        <v>#NAME?</v>
      </c>
      <c r="CT28" t="e">
        <f ca="1">(CP28-(2*CQ28)-(3*CQ28^2))</f>
        <v>#NAME?</v>
      </c>
      <c r="CU28" t="e">
        <f ca="1">-((CP28*CQ28)-(CQ28^2)-(CQ28^3))</f>
        <v>#NAME?</v>
      </c>
      <c r="CV28" t="b">
        <f ca="1">IFERROR(INDEX(CardanoMethod(CR28:CU28),1),FALSE)</f>
        <v>0</v>
      </c>
      <c r="CW28" t="b">
        <f ca="1">IFERROR(INDEX(CardanoMethod(CR28:CU28),2),FALSE)</f>
        <v>0</v>
      </c>
      <c r="CX28" t="b">
        <f ca="1">IFERROR(INDEX(CardanoMethod(CR28:CU28),3),FALSE)</f>
        <v>0</v>
      </c>
      <c r="CY28">
        <f ca="1">MIN(CV28:CX28)</f>
        <v>0</v>
      </c>
      <c r="CZ28" s="1" t="e">
        <f ca="1">IF($C28="","",psi_i(a_iVal3,x_iVal6,$A28,Kij_Val,BIPset,$AC$3,COUNTA(Chem3)))</f>
        <v>#NAME?</v>
      </c>
      <c r="DA28" s="1" t="e">
        <f ca="1">IF($C28="","",psi_i(a_iVal3,y_iValDP,$A28,Kij_Val,BIPset,$AC$3,COUNTA(Chem3)))</f>
        <v>#NAME?</v>
      </c>
      <c r="DB28" s="1" t="e">
        <f ca="1">psiSUM(a_iVal3,x_iVal6,Kij_Val,BIPset,$AE$3,COUNTA(Chem3))</f>
        <v>#NAME?</v>
      </c>
      <c r="DC28" s="1" t="e">
        <f ca="1">CO28*$O28</f>
        <v>#NAME?</v>
      </c>
      <c r="DD28" s="1" t="e">
        <f ca="1">$J28*$O28</f>
        <v>#NAME?</v>
      </c>
      <c r="DE28" s="1" t="e">
        <f ca="1">SUM(DC28:DC37)</f>
        <v>#NAME?</v>
      </c>
      <c r="DF28" s="1" t="e">
        <f ca="1">IF($C28="",0,phi_i($CY$28,$CP$28,$CQ$28,O28,$DE$28,CZ28,$DB$28))</f>
        <v>#NAME?</v>
      </c>
      <c r="DG28" s="1" t="e">
        <f ca="1">IF($C28="",0,phi_i($CY$30,$CP$30,$CQ$30,O28,$DE$31,DA28,$DB$31))</f>
        <v>#NAME?</v>
      </c>
      <c r="DH28" s="1" t="e">
        <f ca="1">DF28*CO28*$CM$28</f>
        <v>#NAME?</v>
      </c>
      <c r="DI28" s="1" t="e">
        <f ca="1">DG28*$J28*$CM$28</f>
        <v>#NAME?</v>
      </c>
      <c r="DJ28">
        <f ca="1">IFERROR((1-(DH28/DI28))^2,0)</f>
        <v>0</v>
      </c>
      <c r="DK28">
        <f ca="1">SUM(DJ28:DJ37)</f>
        <v>0</v>
      </c>
      <c r="DL28" t="e">
        <f ca="1">DI28/DF28</f>
        <v>#NAME?</v>
      </c>
      <c r="DM28" t="e">
        <f ca="1">SUM(DL28:DL33)</f>
        <v>#NAME?</v>
      </c>
      <c r="DN28" t="e">
        <f ca="1">DF28/DG28</f>
        <v>#NAME?</v>
      </c>
      <c r="DO28" s="89" t="e">
        <f ca="1">$J28/DN28</f>
        <v>#NAME?</v>
      </c>
      <c r="DP28" s="1" t="e">
        <f ca="1">INDEX(AB_Calc(a_iVal3, b_iVal3,x_iVal7,Kij_Val,COUNTA(Chem3),$AC$3,$C$26,$DM$28,BIPset),1)</f>
        <v>#NAME?</v>
      </c>
      <c r="DQ28" s="1" t="e">
        <f ca="1">INDEX(AB_Calc(a_iVal3, b_iVal3,x_iVal7,Kij_Val,COUNTA(Chem3),$AC$3,$C$26,$DM$28,BIPset),2)</f>
        <v>#NAME?</v>
      </c>
      <c r="DR28">
        <v>1</v>
      </c>
      <c r="DS28" t="e">
        <f ca="1">-(1-DQ28)</f>
        <v>#NAME?</v>
      </c>
      <c r="DT28" t="e">
        <f ca="1">(DP28-(2*DQ28)-(3*DQ28^2))</f>
        <v>#NAME?</v>
      </c>
      <c r="DU28" t="e">
        <f ca="1">-((DP28*DQ28)-(DQ28^2)-(DQ28^3))</f>
        <v>#NAME?</v>
      </c>
      <c r="DV28" t="b">
        <f ca="1">IFERROR(INDEX(CardanoMethod(DR28:DU28),1),FALSE)</f>
        <v>0</v>
      </c>
      <c r="DW28" t="b">
        <f ca="1">IFERROR(INDEX(CardanoMethod(DR28:DU28),2),FALSE)</f>
        <v>0</v>
      </c>
      <c r="DX28" t="b">
        <f ca="1">IFERROR(INDEX(CardanoMethod(DR28:DU28),3),FALSE)</f>
        <v>0</v>
      </c>
      <c r="DY28">
        <f ca="1">MIN(DV28:DX28)</f>
        <v>0</v>
      </c>
      <c r="DZ28" s="1" t="e">
        <f ca="1">IF($C28="","",psi_i(a_iVal3,x_iVal7,$A28,Kij_Val,BIPset,$AC$3,COUNTA(Chem3)))</f>
        <v>#NAME?</v>
      </c>
      <c r="EA28" s="1" t="e">
        <f ca="1">IF($C28="","",psi_i(a_iVal3,y_iValDP,$A28,Kij_Val,BIPset,$AC$3,COUNTA(Chem3)))</f>
        <v>#NAME?</v>
      </c>
      <c r="EB28" s="1" t="e">
        <f ca="1">psiSUM(a_iVal3,x_iVal7,Kij_Val,BIPset,$AE$3,COUNTA(Chem3))</f>
        <v>#NAME?</v>
      </c>
      <c r="EC28" s="1" t="e">
        <f ca="1">DO28*$O28</f>
        <v>#NAME?</v>
      </c>
      <c r="ED28" s="1" t="e">
        <f ca="1">$J28*$O28</f>
        <v>#NAME?</v>
      </c>
      <c r="EE28" s="1" t="e">
        <f ca="1">SUM(EC28:EC37)</f>
        <v>#NAME?</v>
      </c>
      <c r="EF28" s="1" t="e">
        <f ca="1">IF($C28="",0,phi_i($DY$28,$DP$28,$DQ$28,O28,$EE$28,DZ28,$EB$28))</f>
        <v>#NAME?</v>
      </c>
      <c r="EG28" s="1" t="e">
        <f ca="1">IF($C28="",0,phi_i($DY$30,$DP$30,$DQ$30,O28,$EE$31,DZ28,$EB$31))</f>
        <v>#NAME?</v>
      </c>
      <c r="EH28" s="1" t="e">
        <f ca="1">EF28*DO28*$DM$28</f>
        <v>#NAME?</v>
      </c>
      <c r="EI28" s="1" t="e">
        <f ca="1">EG28*$J28*$DM$28</f>
        <v>#NAME?</v>
      </c>
      <c r="EJ28">
        <f ca="1">IFERROR((1-(EH28/EI28))^2,0)</f>
        <v>0</v>
      </c>
      <c r="EK28">
        <f ca="1">SUM(EJ28:EJ37)</f>
        <v>0</v>
      </c>
      <c r="EL28" t="e">
        <f ca="1">EI28/EF28</f>
        <v>#NAME?</v>
      </c>
      <c r="EM28" t="e">
        <f ca="1">SUM(EL28:EL33)</f>
        <v>#NAME?</v>
      </c>
      <c r="EN28" t="e">
        <f ca="1">EF28/EG28</f>
        <v>#NAME?</v>
      </c>
      <c r="EO28" s="89" t="e">
        <f ca="1">$J28/EN28</f>
        <v>#NAME?</v>
      </c>
      <c r="EP28" s="1" t="e">
        <f ca="1">INDEX(AB_Calc(a_iVal3, b_iVal3,x_iVal8,Kij_Val,COUNTA(Chem3),$AC$3,$C$26,$EM$28,BIPset),1)</f>
        <v>#NAME?</v>
      </c>
      <c r="EQ28" s="1" t="e">
        <f ca="1">INDEX(AB_Calc(a_iVal3, b_iVal3,x_iVal8,Kij_Val,COUNTA(Chem3),$AC$3,$C$26,$EM$28,BIPset),2)</f>
        <v>#NAME?</v>
      </c>
      <c r="ER28">
        <v>1</v>
      </c>
      <c r="ES28" t="e">
        <f ca="1">-(1-EQ28)</f>
        <v>#NAME?</v>
      </c>
      <c r="ET28" t="e">
        <f ca="1">(EP28-(2*EQ28)-(3*EQ28^2))</f>
        <v>#NAME?</v>
      </c>
      <c r="EU28" t="e">
        <f ca="1">-((EP28*EQ28)-(EQ28^2)-(EQ28^3))</f>
        <v>#NAME?</v>
      </c>
      <c r="EV28" t="b">
        <f ca="1">IFERROR(INDEX(CardanoMethod(ER28:EU28),1),FALSE)</f>
        <v>0</v>
      </c>
      <c r="EW28" t="b">
        <v>0</v>
      </c>
      <c r="EX28" t="b">
        <v>0</v>
      </c>
      <c r="EY28">
        <f ca="1">MIN(EV28:EX28)</f>
        <v>0</v>
      </c>
      <c r="EZ28" s="1" t="e">
        <f ca="1">IF($C28="","",psi_i(a_iVal3,x_iVal8,$A28,Kij_Val,BIPset,$AC$3,COUNTA(Chem3)))</f>
        <v>#NAME?</v>
      </c>
      <c r="FA28" s="1" t="e">
        <f ca="1">IF($C28="","",psi_i(a_iVal3,y_iValDP,$A28,Kij_Val,BIPset,$AC$3,COUNTA(Chem3)))</f>
        <v>#NAME?</v>
      </c>
      <c r="FB28" s="1" t="e">
        <f ca="1">psiSUM(a_iVal3,x_iVal8,Kij_Val,BIPset,$AE$3,COUNTA(Chem3))</f>
        <v>#NAME?</v>
      </c>
      <c r="FC28" s="1" t="e">
        <f ca="1">EO28*$O28</f>
        <v>#NAME?</v>
      </c>
      <c r="FD28" s="1" t="e">
        <f ca="1">$J28*$O28</f>
        <v>#NAME?</v>
      </c>
      <c r="FE28" s="1" t="e">
        <f ca="1">SUM(FC28:FC37)</f>
        <v>#NAME?</v>
      </c>
      <c r="FF28" s="1" t="e">
        <f ca="1">IF($C28="",0,phi_i($EY$28,$EP$28,$EQ$28,O28,$FE$28,EZ28,$FB$28))</f>
        <v>#NAME?</v>
      </c>
      <c r="FG28" s="1" t="e">
        <f ca="1">IF($C28="",0,phi_i($EY$30,$EP$30,$EQ$30,O28,$FE$31,FA28,$FB$31))</f>
        <v>#NAME?</v>
      </c>
      <c r="FH28" s="1" t="e">
        <f ca="1">FF28*EO28*$EM$28</f>
        <v>#NAME?</v>
      </c>
      <c r="FI28" s="1" t="e">
        <f ca="1">FG28*$J28*$EM$28</f>
        <v>#NAME?</v>
      </c>
      <c r="FJ28">
        <f ca="1">IFERROR((1-(FH28/FI28))^2,0)</f>
        <v>0</v>
      </c>
      <c r="FK28">
        <f ca="1">SUM(FJ28:FJ37)</f>
        <v>0</v>
      </c>
      <c r="FL28" t="e">
        <f ca="1">FI28/FF28</f>
        <v>#NAME?</v>
      </c>
      <c r="FM28" t="e">
        <f ca="1">SUM(FL28:FL33)</f>
        <v>#NAME?</v>
      </c>
      <c r="FN28" t="e">
        <f ca="1">FF28/FG28</f>
        <v>#NAME?</v>
      </c>
      <c r="FO28" s="89" t="e">
        <f ca="1">$J28/FN28</f>
        <v>#NAME?</v>
      </c>
      <c r="FP28" s="1" t="e">
        <f ca="1">INDEX(AB_Calc(a_iVal3, b_iVal3,x_iVal9,Kij_Val,COUNTA(Chem3),$AC$3,$C$26,$FM$28,BIPset),1)</f>
        <v>#NAME?</v>
      </c>
      <c r="FQ28" s="1" t="e">
        <f ca="1">INDEX(AB_Calc(a_iVal3, b_iVal3,x_iVal9,Kij_Val,COUNTA(Chem3),$AC$3,$C$26,$FM$28,BIPset),2)</f>
        <v>#NAME?</v>
      </c>
      <c r="FR28">
        <v>1</v>
      </c>
      <c r="FS28" t="e">
        <f ca="1">-(1-FQ28)</f>
        <v>#NAME?</v>
      </c>
      <c r="FT28" t="e">
        <f ca="1">(FP28-(2*FQ28)-(3*FQ28^2))</f>
        <v>#NAME?</v>
      </c>
      <c r="FU28" t="e">
        <f ca="1">-((FP28*FQ28)-(FQ28^2)-(FQ28^3))</f>
        <v>#NAME?</v>
      </c>
      <c r="FV28" t="b">
        <f ca="1">IF(IFERROR(INDEX(CardanoMethod(FR28:FU28),1),FALSE) &lt; 0, FALSE,IFERROR(INDEX(CardanoMethod(FR28:FU28),1),FALSE))</f>
        <v>0</v>
      </c>
      <c r="FW28" t="b">
        <v>0</v>
      </c>
      <c r="FX28" t="b">
        <f ca="1">IF(IFERROR(INDEX(CardanoMethod(FR28:FU28),3),FALSE) &lt; 0, FALSE,IFERROR(INDEX(CardanoMethod(FR28:FU28),3),FALSE))</f>
        <v>0</v>
      </c>
      <c r="FY28">
        <f ca="1">MIN(FV28:FX28)</f>
        <v>0</v>
      </c>
      <c r="FZ28" s="1" t="e">
        <f ca="1">IF($C28="","",psi_i(a_iVal3,x_iVal9,$A28,Kij_Val,BIPset,$AC$3,COUNTA(Chem3)))</f>
        <v>#NAME?</v>
      </c>
      <c r="GA28" s="1" t="e">
        <f ca="1">IF($C28="","",psi_i(a_iVal3,y_iValDP,$A28,Kij_Val,BIPset,$AC$3,COUNTA(Chem3)))</f>
        <v>#NAME?</v>
      </c>
      <c r="GB28" s="1" t="e">
        <f ca="1">psiSUM(a_iVal3,x_iVal9,Kij_Val,BIPset,$AE$3,COUNTA(Chem3))</f>
        <v>#NAME?</v>
      </c>
      <c r="GC28" s="1" t="e">
        <f ca="1">FO28*$O28</f>
        <v>#NAME?</v>
      </c>
      <c r="GD28" s="1" t="e">
        <f ca="1">$J28*$O28</f>
        <v>#NAME?</v>
      </c>
      <c r="GE28" s="1" t="e">
        <f ca="1">SUM(GC28:GC37)</f>
        <v>#NAME?</v>
      </c>
      <c r="GF28" s="1" t="e">
        <f ca="1">IF($C28="",0,phi_i($FY$28,$FP$28,$FQ$28,O28,$GE$28,FZ28,$GB$28))</f>
        <v>#NAME?</v>
      </c>
      <c r="GG28" s="1" t="e">
        <f ca="1">IF($C28="",0,phi_i($FY$30,$FP$30,$FQ$30,O28,$GE$31,GA28,$GB$31))</f>
        <v>#NAME?</v>
      </c>
      <c r="GH28" s="1" t="e">
        <f ca="1">GF28*FO28*$FM$28</f>
        <v>#NAME?</v>
      </c>
      <c r="GI28" s="1" t="e">
        <f ca="1">GG28*$J28*$FM$28</f>
        <v>#NAME?</v>
      </c>
      <c r="GJ28" t="e">
        <f ca="1">(1-(GH28/GI28))^2</f>
        <v>#NAME?</v>
      </c>
      <c r="GK28" t="e">
        <f ca="1">SUM(GJ28:GJ37)</f>
        <v>#NAME?</v>
      </c>
      <c r="GL28" t="e">
        <f ca="1">GI28/GF28</f>
        <v>#NAME?</v>
      </c>
      <c r="GM28" t="e">
        <f ca="1">SUM(GL28:GL33)</f>
        <v>#NAME?</v>
      </c>
      <c r="GN28" t="e">
        <f ca="1">GF28/GG28</f>
        <v>#NAME?</v>
      </c>
      <c r="GO28" s="89" t="e">
        <f ca="1">$J28/GN28</f>
        <v>#NAME?</v>
      </c>
      <c r="GP28" s="1" t="e">
        <f ca="1">INDEX(AB_Calc(a_iVal3, b_iVal3,x_iVal10,Kij_Val,COUNTA(Chem3),$AC$3,$C$26,$GM$28,BIPset),1)</f>
        <v>#NAME?</v>
      </c>
      <c r="GQ28" s="1" t="e">
        <f ca="1">INDEX(AB_Calc(a_iVal3, b_iVal3,x_iVal10,Kij_Val,COUNTA(Chem3),$AC$3,$C$26,$GM$28,BIPset),2)</f>
        <v>#NAME?</v>
      </c>
      <c r="GR28">
        <v>1</v>
      </c>
      <c r="GS28" t="e">
        <f ca="1">-(1-GQ28)</f>
        <v>#NAME?</v>
      </c>
      <c r="GT28" t="e">
        <f ca="1">(GP28-(2*GQ28)-(3*GQ28^2))</f>
        <v>#NAME?</v>
      </c>
      <c r="GU28" t="e">
        <f ca="1">-((GP28*GQ28)-(GQ28^2)-(GQ28^3))</f>
        <v>#NAME?</v>
      </c>
      <c r="GV28" t="b">
        <f ca="1">IF(IFERROR(INDEX(CardanoMethod(GR28:GU28),1),FALSE) &lt; 0, FALSE,IFERROR(INDEX(CardanoMethod(GR28:GU28),1),FALSE))</f>
        <v>0</v>
      </c>
      <c r="GW28" t="b">
        <f ca="1">IF(IFERROR(INDEX(CardanoMethod(GR28:GU28),2),FALSE) &lt; 0, FALSE,IFERROR(INDEX(CardanoMethod(GR28:GU28),2),FALSE))</f>
        <v>0</v>
      </c>
      <c r="GX28" t="b">
        <f ca="1">IF(IFERROR(INDEX(CardanoMethod(GR28:GU28),3),FALSE) &lt; 0, FALSE,IFERROR(INDEX(CardanoMethod(GR28:GU28),3),FALSE))</f>
        <v>0</v>
      </c>
      <c r="GY28">
        <f ca="1">MIN(GV28:GX28)</f>
        <v>0</v>
      </c>
      <c r="GZ28" s="1" t="e">
        <f ca="1">IF($C28="","",psi_i(a_iVal3,x_iVal10,$A28,Kij_Val,BIPset,$AC$3,COUNTA(Chem3)))</f>
        <v>#NAME?</v>
      </c>
      <c r="HA28" s="1" t="e">
        <f ca="1">IF($C28="","",psi_i(a_iVal3,y_iValDP,$A28,Kij_Val,BIPset,$AC$3,COUNTA(Chem3)))</f>
        <v>#NAME?</v>
      </c>
      <c r="HB28" s="1" t="e">
        <f ca="1">psiSUM(a_iVal3,x_iVal10,Kij_Val,BIPset,$AE$3,COUNTA(Chem3))</f>
        <v>#NAME?</v>
      </c>
      <c r="HC28" s="1" t="e">
        <f ca="1">GO28*$O28</f>
        <v>#NAME?</v>
      </c>
      <c r="HD28" s="1" t="e">
        <f ca="1">$J28*$O28</f>
        <v>#NAME?</v>
      </c>
      <c r="HE28" s="1" t="e">
        <f ca="1">SUM(HC28:HC37)</f>
        <v>#NAME?</v>
      </c>
      <c r="HF28" s="1" t="e">
        <f ca="1">IF($C28="",0,phi_i($GY$28,$GP$28,$GQ$28,O28,$HE$28,GZ28,$HB$28))</f>
        <v>#NAME?</v>
      </c>
      <c r="HG28" s="1" t="e">
        <f ca="1">IF($C28="",0,phi_i($GY$30,$GP$30,$GQ$30,O28,$HE$31,HA28,$HB$31))</f>
        <v>#NAME?</v>
      </c>
      <c r="HH28" s="1" t="e">
        <f ca="1">HF28*GO28*$GM$28</f>
        <v>#NAME?</v>
      </c>
      <c r="HI28" s="1" t="e">
        <f ca="1">HG28*$J28*$GM$28</f>
        <v>#NAME?</v>
      </c>
      <c r="HJ28" t="e">
        <f ca="1">(1-(HH28/HI28))^2</f>
        <v>#NAME?</v>
      </c>
      <c r="HK28" t="e">
        <f ca="1">SUM(HJ28:HJ37)</f>
        <v>#NAME?</v>
      </c>
      <c r="HL28" t="e">
        <f ca="1">HI28/HF28</f>
        <v>#NAME?</v>
      </c>
      <c r="HM28" t="e">
        <f ca="1">SUM(HL28:HL33)</f>
        <v>#NAME?</v>
      </c>
      <c r="HN28" t="e">
        <f ca="1">HF28/HG28</f>
        <v>#NAME?</v>
      </c>
      <c r="HO28" s="89" t="e">
        <f ca="1">$J28/HN28</f>
        <v>#NAME?</v>
      </c>
      <c r="HP28" s="1" t="e">
        <f ca="1">INDEX(AB_Calc(a_iVal3, b_iVal3,x_iVal11,Kij_Val,COUNTA(Chem3),$AC$3,$C$26,$HM$28,BIPset),1)</f>
        <v>#NAME?</v>
      </c>
      <c r="HQ28" s="1" t="e">
        <f ca="1">INDEX(AB_Calc(a_iVal3, b_iVal3,x_iVal11,Kij_Val,COUNTA(Chem3),$AC$3,$C$26,$HM$28,BIPset),2)</f>
        <v>#NAME?</v>
      </c>
      <c r="HR28">
        <v>1</v>
      </c>
      <c r="HS28" t="e">
        <f ca="1">-(1-HQ28)</f>
        <v>#NAME?</v>
      </c>
      <c r="HT28" t="e">
        <f ca="1">(HP28-(2*HQ28)-(3*HQ28^2))</f>
        <v>#NAME?</v>
      </c>
      <c r="HU28" t="e">
        <f ca="1">-((HP28*HQ28)-(HQ28^2)-(HQ28^3))</f>
        <v>#NAME?</v>
      </c>
      <c r="HV28" t="b">
        <f ca="1">IF(IFERROR(INDEX(CardanoMethod(HR28:HU28),1),FALSE) &lt; 0, FALSE,IFERROR(INDEX(CardanoMethod(HR28:HU28),1),FALSE))</f>
        <v>0</v>
      </c>
      <c r="HW28" t="b">
        <f ca="1">IF(IFERROR(INDEX(CardanoMethod(HR28:HU28),2),FALSE) &lt; 0, FALSE,IFERROR(INDEX(CardanoMethod(HR28:HU28),2),FALSE))</f>
        <v>0</v>
      </c>
      <c r="HX28" t="b">
        <f ca="1">IF(IFERROR(INDEX(CardanoMethod(HR28:HU28),3),FALSE) &lt; 0, FALSE,IFERROR(INDEX(CardanoMethod(HR28:HU28),3),FALSE))</f>
        <v>0</v>
      </c>
      <c r="HY28">
        <f ca="1">MIN(HV28:HX28)</f>
        <v>0</v>
      </c>
      <c r="HZ28" s="1" t="e">
        <f ca="1">IF($C28="","",psi_i(a_iVal3,x_iVal10,$A28,Kij_Val,BIPset,$AC$3,COUNTA(Chem3)))</f>
        <v>#NAME?</v>
      </c>
      <c r="IA28" s="1" t="e">
        <f ca="1">IF($C28="","",psi_i(a_iVal3,y_iValDP,$A28,Kij_Val,BIPset,$AC$3,COUNTA(Chem3)))</f>
        <v>#NAME?</v>
      </c>
      <c r="IB28" s="1" t="e">
        <f ca="1">psiSUM(a_iVal3,x_iVal10,Kij_Val,BIPset,$AE$3,COUNTA(Chem3))</f>
        <v>#NAME?</v>
      </c>
      <c r="IC28" s="1" t="e">
        <f ca="1">HO28*$O28</f>
        <v>#NAME?</v>
      </c>
      <c r="ID28" s="1" t="e">
        <f ca="1">$J28*$O28</f>
        <v>#NAME?</v>
      </c>
      <c r="IE28" s="1" t="e">
        <f ca="1">SUM(IC28:IC37)</f>
        <v>#NAME?</v>
      </c>
      <c r="IF28" s="1" t="e">
        <f ca="1">IF($C28="",0,phi_i($GY$28,$GP$28,$GQ$28,AO28,$HE$28,HZ28,$HB$28))</f>
        <v>#NAME?</v>
      </c>
      <c r="IG28" s="1" t="e">
        <f ca="1">IF($C28="",0,phi_i($GY$30,$GP$30,$GQ$30,AO28,$HE$31,IA28,$HB$31))</f>
        <v>#NAME?</v>
      </c>
      <c r="IH28" s="1" t="e">
        <f ca="1">IF28*HO28*$GM$28</f>
        <v>#NAME?</v>
      </c>
      <c r="II28" s="1" t="e">
        <f ca="1">IG28*$J28*$GM$28</f>
        <v>#NAME?</v>
      </c>
      <c r="IJ28" t="e">
        <f ca="1">(1-(IH28/II28))^2</f>
        <v>#NAME?</v>
      </c>
      <c r="IK28" t="e">
        <f ca="1">SUM(IJ28:IJ37)</f>
        <v>#NAME?</v>
      </c>
      <c r="IL28" t="e">
        <f ca="1">II28/IF28</f>
        <v>#NAME?</v>
      </c>
      <c r="IM28" t="e">
        <f ca="1">SUM(IL28:IL33)</f>
        <v>#NAME?</v>
      </c>
      <c r="IN28" t="e">
        <f ca="1">IF28/IG28</f>
        <v>#NAME?</v>
      </c>
      <c r="IO28" s="89" t="e">
        <f ca="1">$J28/IN28</f>
        <v>#NAME?</v>
      </c>
    </row>
    <row r="29" spans="1:249">
      <c r="A29">
        <f>A28+1</f>
        <v>2</v>
      </c>
      <c r="B29" s="18" t="str">
        <f>'Wilson BPDP'!B8</f>
        <v>MF Pentane</v>
      </c>
      <c r="C29" s="18">
        <v>0.2</v>
      </c>
      <c r="D29" s="18" t="str">
        <f>'Wilson BPDP'!D8</f>
        <v>-</v>
      </c>
      <c r="E29" s="119">
        <f>Wilson!E8</f>
        <v>469.7</v>
      </c>
      <c r="F29" s="119">
        <f>Wilson!F8</f>
        <v>3360</v>
      </c>
      <c r="G29" s="119">
        <f>Wilson!G8</f>
        <v>0.27100000000000002</v>
      </c>
      <c r="H29" s="119">
        <f>Wilson!H8</f>
        <v>0.251</v>
      </c>
      <c r="I29" s="119">
        <f t="shared" ref="I29:I33" si="143">$C$26/E29</f>
        <v>0.63870555673834362</v>
      </c>
      <c r="J29" s="119">
        <f t="shared" ref="J29:J33" si="144">C29</f>
        <v>0.2</v>
      </c>
      <c r="L29" t="e">
        <f ca="1">'Wilson BPDP'!X8</f>
        <v>#NAME?</v>
      </c>
      <c r="M29" t="e">
        <f t="shared" ref="M29:M33" ca="1" si="145">J29/L29</f>
        <v>#NAME?</v>
      </c>
      <c r="N29" t="e">
        <f ca="1">a_i($E29,$F29)*alpha($H29,$I29)</f>
        <v>#NAME?</v>
      </c>
      <c r="O29" t="e">
        <f t="shared" ca="1" si="142"/>
        <v>#NAME?</v>
      </c>
      <c r="P29" s="64" t="s">
        <v>135</v>
      </c>
      <c r="Q29" s="64" t="s">
        <v>136</v>
      </c>
      <c r="R29" s="117" t="s">
        <v>137</v>
      </c>
      <c r="S29" s="117" t="s">
        <v>138</v>
      </c>
      <c r="T29" s="117" t="s">
        <v>139</v>
      </c>
      <c r="U29" s="117" t="s">
        <v>140</v>
      </c>
      <c r="V29" s="53" t="s">
        <v>141</v>
      </c>
      <c r="W29" s="53" t="s">
        <v>142</v>
      </c>
      <c r="X29" s="53" t="s">
        <v>143</v>
      </c>
      <c r="Y29" s="81" t="s">
        <v>175</v>
      </c>
      <c r="Z29" s="1" t="e">
        <f ca="1">IF($C29="","",psi_i(a_iVal3,x_iVal3,$A29,Kij_Val,BIPset,$AC$3,COUNTA(Chem3)))</f>
        <v>#NAME?</v>
      </c>
      <c r="AA29" s="1" t="e">
        <f ca="1">IF($C29="","",psi_i(a_iVal3,y_iValDP,$A29,Kij_Val,BIPset,$AC$3,COUNTA(Chem3)))</f>
        <v>#NAME?</v>
      </c>
      <c r="AB29" s="1"/>
      <c r="AC29" s="1" t="e">
        <f t="shared" ref="AC29:AC33" ca="1" si="146">M29*$O29</f>
        <v>#NAME?</v>
      </c>
      <c r="AD29" s="1" t="e">
        <f t="shared" ref="AD29:AD33" ca="1" si="147">$J29*$O29</f>
        <v>#NAME?</v>
      </c>
      <c r="AE29" s="1"/>
      <c r="AF29" s="1" t="e">
        <f ca="1">IF($C29="",0,phi_i($Y$28,$P$28,$Q$28,O29,$AE$28,Z29,$AB$28))</f>
        <v>#NAME?</v>
      </c>
      <c r="AG29" s="1" t="e">
        <f ca="1">IF($C29="",0,phi_i($Y$30,$P$30,$Q$30,O29,$AE$31,AA29,$AB$31))</f>
        <v>#NAME?</v>
      </c>
      <c r="AH29" s="1" t="e">
        <f t="shared" ref="AH29:AH37" ca="1" si="148">AF29*M29*$K$28</f>
        <v>#NAME?</v>
      </c>
      <c r="AI29" s="1" t="e">
        <f t="shared" ref="AI29:AI37" ca="1" si="149">AG29*$J29*$K$28</f>
        <v>#NAME?</v>
      </c>
      <c r="AJ29">
        <f t="shared" ref="AJ29:AJ37" ca="1" si="150">IFERROR((1-(AH29/AI29))^2,0)</f>
        <v>0</v>
      </c>
      <c r="AL29" t="e">
        <f t="shared" ref="AL29:AL33" ca="1" si="151">AI29/AF29</f>
        <v>#NAME?</v>
      </c>
      <c r="AN29" t="e">
        <f t="shared" ref="AN29:AN33" ca="1" si="152">AF29/AG29</f>
        <v>#NAME?</v>
      </c>
      <c r="AO29" s="89" t="e">
        <f t="shared" ref="AO29:AO33" ca="1" si="153">$J29/AN29</f>
        <v>#NAME?</v>
      </c>
      <c r="AP29" s="64" t="s">
        <v>135</v>
      </c>
      <c r="AQ29" s="64" t="s">
        <v>136</v>
      </c>
      <c r="AR29" s="117" t="s">
        <v>137</v>
      </c>
      <c r="AS29" s="117" t="s">
        <v>138</v>
      </c>
      <c r="AT29" s="117" t="s">
        <v>139</v>
      </c>
      <c r="AU29" s="117" t="s">
        <v>140</v>
      </c>
      <c r="AV29" s="53" t="s">
        <v>141</v>
      </c>
      <c r="AW29" s="53" t="s">
        <v>142</v>
      </c>
      <c r="AX29" s="53" t="s">
        <v>143</v>
      </c>
      <c r="AY29" s="81" t="s">
        <v>175</v>
      </c>
      <c r="AZ29" s="1" t="e">
        <f ca="1">IF($C29="","",psi_i(a_iVal3,x_iVal4,$A29,Kij_Val,BIPset,$AC$3,COUNTA(Chem3)))</f>
        <v>#NAME?</v>
      </c>
      <c r="BA29" s="1" t="e">
        <f ca="1">IF($C29="","",psi_i(a_iVal3,y_iValDP,$A29,Kij_Val,BIPset,$AC$3,COUNTA(Chem3)))</f>
        <v>#NAME?</v>
      </c>
      <c r="BB29" s="1"/>
      <c r="BC29" s="1" t="e">
        <f t="shared" ref="BC29:BC37" ca="1" si="154">AO29*$O29</f>
        <v>#NAME?</v>
      </c>
      <c r="BD29" s="1" t="e">
        <f t="shared" ref="BD29:BD37" ca="1" si="155">$J29*$O29</f>
        <v>#NAME?</v>
      </c>
      <c r="BE29" s="1"/>
      <c r="BF29" s="1" t="e">
        <f ca="1">IF($C29="",0,phi_i($AY$28,$AP$28,$AQ$28,O29,$BE$28,AZ29,$BB$28))</f>
        <v>#NAME?</v>
      </c>
      <c r="BG29" s="1" t="e">
        <f ca="1">IF($C29="",0,phi_i($AY$30,$AP$30,$AQ$30,O29,$BE$31,BA29,$BB$31))</f>
        <v>#NAME?</v>
      </c>
      <c r="BH29" s="1" t="e">
        <f t="shared" ref="BH29:BH37" ca="1" si="156">BF29*AO29*$AM$28</f>
        <v>#NAME?</v>
      </c>
      <c r="BI29" s="1" t="e">
        <f t="shared" ref="BI29:BI37" ca="1" si="157">BG29*$J29*$AM$28</f>
        <v>#NAME?</v>
      </c>
      <c r="BJ29">
        <f t="shared" ref="BJ29:BJ37" ca="1" si="158">IFERROR((1-(BH29/BI29))^2,0)</f>
        <v>0</v>
      </c>
      <c r="BL29" t="e">
        <f t="shared" ref="BL29:BL33" ca="1" si="159">BI29/BF29</f>
        <v>#NAME?</v>
      </c>
      <c r="BN29" t="e">
        <f t="shared" ref="BN29:BN33" ca="1" si="160">BF29/BG29</f>
        <v>#NAME?</v>
      </c>
      <c r="BO29" s="89" t="e">
        <f t="shared" ref="BO29:BO33" ca="1" si="161">$J29/BN29</f>
        <v>#NAME?</v>
      </c>
      <c r="BP29" s="64" t="s">
        <v>135</v>
      </c>
      <c r="BQ29" s="64" t="s">
        <v>136</v>
      </c>
      <c r="BR29" s="117" t="s">
        <v>137</v>
      </c>
      <c r="BS29" s="117" t="s">
        <v>138</v>
      </c>
      <c r="BT29" s="117" t="s">
        <v>139</v>
      </c>
      <c r="BU29" s="117" t="s">
        <v>140</v>
      </c>
      <c r="BV29" s="53" t="s">
        <v>141</v>
      </c>
      <c r="BW29" s="53" t="s">
        <v>142</v>
      </c>
      <c r="BX29" s="53" t="s">
        <v>143</v>
      </c>
      <c r="BY29" s="81" t="s">
        <v>175</v>
      </c>
      <c r="BZ29" s="1" t="e">
        <f ca="1">IF($C29="","",psi_i(a_iVal3,x_iVal5,$A29,Kij_Val,BIPset,$AC$3,COUNTA(Chem3)))</f>
        <v>#NAME?</v>
      </c>
      <c r="CA29" s="1" t="e">
        <f ca="1">IF($C29="","",psi_i(a_iVal3,y_iValDP,$A29,Kij_Val,BIPset,$AC$3,COUNTA(Chem3)))</f>
        <v>#NAME?</v>
      </c>
      <c r="CB29" s="1"/>
      <c r="CC29" s="1" t="e">
        <f t="shared" ref="CC29:CC37" ca="1" si="162">BO29*$O29</f>
        <v>#NAME?</v>
      </c>
      <c r="CD29" s="1" t="e">
        <f t="shared" ref="CD29:CD37" ca="1" si="163">$J29*$O29</f>
        <v>#NAME?</v>
      </c>
      <c r="CE29" s="1"/>
      <c r="CF29" s="1" t="e">
        <f ca="1">IF($C29="",0,phi_i($BY$28,$BP$28,$BQ$28,O29,$CE$28,BZ29,$CB$28))</f>
        <v>#NAME?</v>
      </c>
      <c r="CG29" s="1" t="e">
        <f ca="1">IF($C29="",0,phi_i($BY$30,$BP$30,$BQ$30,O29,$CE$31,CA29,$CB$31))</f>
        <v>#NAME?</v>
      </c>
      <c r="CH29" s="1" t="e">
        <f t="shared" ref="CH29:CH37" ca="1" si="164">CF29*BO29*$BM$28</f>
        <v>#NAME?</v>
      </c>
      <c r="CI29" s="1" t="e">
        <f t="shared" ref="CI29:CI37" ca="1" si="165">CG29*$J29*$BM$28</f>
        <v>#NAME?</v>
      </c>
      <c r="CJ29">
        <f t="shared" ref="CJ29:CJ37" ca="1" si="166">IFERROR((1-(CH29/CI29))^2,0)</f>
        <v>0</v>
      </c>
      <c r="CL29" t="e">
        <f t="shared" ref="CL29:CL33" ca="1" si="167">CI29/CF29</f>
        <v>#NAME?</v>
      </c>
      <c r="CN29" t="e">
        <f t="shared" ref="CN29:CN33" ca="1" si="168">CF29/CG29</f>
        <v>#NAME?</v>
      </c>
      <c r="CO29" s="89" t="e">
        <f t="shared" ref="CO29:CO32" ca="1" si="169">$J29/CN29</f>
        <v>#NAME?</v>
      </c>
      <c r="CP29" s="64" t="s">
        <v>135</v>
      </c>
      <c r="CQ29" s="64" t="s">
        <v>136</v>
      </c>
      <c r="CR29" s="117" t="s">
        <v>137</v>
      </c>
      <c r="CS29" s="117" t="s">
        <v>138</v>
      </c>
      <c r="CT29" s="117" t="s">
        <v>139</v>
      </c>
      <c r="CU29" s="117" t="s">
        <v>140</v>
      </c>
      <c r="CV29" s="53" t="s">
        <v>141</v>
      </c>
      <c r="CW29" s="53" t="s">
        <v>142</v>
      </c>
      <c r="CX29" s="53" t="s">
        <v>143</v>
      </c>
      <c r="CY29" s="81" t="s">
        <v>175</v>
      </c>
      <c r="CZ29" s="1" t="e">
        <f ca="1">IF($C29="","",psi_i(a_iVal3,x_iVal6,$A29,Kij_Val,BIPset,$AC$3,COUNTA(Chem3)))</f>
        <v>#NAME?</v>
      </c>
      <c r="DA29" s="1" t="e">
        <f ca="1">IF($C29="","",psi_i(a_iVal3,y_iValDP,$A29,Kij_Val,BIPset,$AC$3,COUNTA(Chem3)))</f>
        <v>#NAME?</v>
      </c>
      <c r="DB29" s="1"/>
      <c r="DC29" s="1" t="e">
        <f t="shared" ref="DC29:DC37" ca="1" si="170">CO29*$O29</f>
        <v>#NAME?</v>
      </c>
      <c r="DD29" s="1" t="e">
        <f t="shared" ref="DD29:DD37" ca="1" si="171">$J29*$O29</f>
        <v>#NAME?</v>
      </c>
      <c r="DE29" s="1"/>
      <c r="DF29" s="1" t="e">
        <f ca="1">IF($C29="",0,phi_i($CY$28,$CP$28,$CQ$28,O29,$DE$28,CZ29,$DB$28))</f>
        <v>#NAME?</v>
      </c>
      <c r="DG29" s="1" t="e">
        <f ca="1">IF($C29="",0,phi_i($CY$30,$CP$30,$CQ$30,O29,$DE$31,DA29,$DB$31))</f>
        <v>#NAME?</v>
      </c>
      <c r="DH29" s="1" t="e">
        <f t="shared" ref="DH29:DH37" ca="1" si="172">DF29*CO29*$CM$28</f>
        <v>#NAME?</v>
      </c>
      <c r="DI29" s="1" t="e">
        <f t="shared" ref="DI29:DI37" ca="1" si="173">DG29*$J29*$CM$28</f>
        <v>#NAME?</v>
      </c>
      <c r="DJ29">
        <f t="shared" ref="DJ29:DJ37" ca="1" si="174">IFERROR((1-(DH29/DI29))^2,0)</f>
        <v>0</v>
      </c>
      <c r="DL29" t="e">
        <f t="shared" ref="DL29:DL33" ca="1" si="175">DI29/DF29</f>
        <v>#NAME?</v>
      </c>
      <c r="DN29" t="e">
        <f t="shared" ref="DN29:DN33" ca="1" si="176">DF29/DG29</f>
        <v>#NAME?</v>
      </c>
      <c r="DO29" s="89" t="e">
        <f t="shared" ref="DO29:DO33" ca="1" si="177">$J29/DN29</f>
        <v>#NAME?</v>
      </c>
      <c r="DP29" s="64" t="s">
        <v>135</v>
      </c>
      <c r="DQ29" s="64" t="s">
        <v>136</v>
      </c>
      <c r="DR29" s="117" t="s">
        <v>137</v>
      </c>
      <c r="DS29" s="117" t="s">
        <v>138</v>
      </c>
      <c r="DT29" s="117" t="s">
        <v>139</v>
      </c>
      <c r="DU29" s="117" t="s">
        <v>140</v>
      </c>
      <c r="DV29" s="53" t="s">
        <v>141</v>
      </c>
      <c r="DW29" s="53" t="s">
        <v>142</v>
      </c>
      <c r="DX29" s="53" t="s">
        <v>143</v>
      </c>
      <c r="DY29" s="81" t="s">
        <v>175</v>
      </c>
      <c r="DZ29" s="1" t="e">
        <f ca="1">IF($C29="","",psi_i(a_iVal3,x_iVal7,$A29,Kij_Val,BIPset,$AC$3,COUNTA(Chem3)))</f>
        <v>#NAME?</v>
      </c>
      <c r="EA29" s="1" t="e">
        <f ca="1">IF($C29="","",psi_i(a_iVal3,y_iValDP,$A29,Kij_Val,BIPset,$AC$3,COUNTA(Chem3)))</f>
        <v>#NAME?</v>
      </c>
      <c r="EB29" s="1"/>
      <c r="EC29" s="1" t="e">
        <f t="shared" ref="EC29:EC37" ca="1" si="178">DO29*$O29</f>
        <v>#NAME?</v>
      </c>
      <c r="ED29" s="1" t="e">
        <f t="shared" ref="ED29:ED37" ca="1" si="179">$J29*$O29</f>
        <v>#NAME?</v>
      </c>
      <c r="EE29" s="1"/>
      <c r="EF29" s="1" t="e">
        <f ca="1">IF($C29="",0,phi_i($DY$28,$DP$28,$DQ$28,O29,$EE$28,DZ29,$EB$28))</f>
        <v>#NAME?</v>
      </c>
      <c r="EG29" s="1" t="e">
        <f ca="1">IF($C29="",0,phi_i($DY$30,$DP$30,$DQ$30,O29,$EE$31,DZ29,$EB$31))</f>
        <v>#NAME?</v>
      </c>
      <c r="EH29" s="1" t="e">
        <f t="shared" ref="EH29:EH37" ca="1" si="180">EF29*DO29*$DM$28</f>
        <v>#NAME?</v>
      </c>
      <c r="EI29" s="1" t="e">
        <f t="shared" ref="EI29:EI37" ca="1" si="181">EG29*$J29*$DM$28</f>
        <v>#NAME?</v>
      </c>
      <c r="EJ29">
        <f t="shared" ref="EJ29:EJ37" ca="1" si="182">IFERROR((1-(EH29/EI29))^2,0)</f>
        <v>0</v>
      </c>
      <c r="EL29" t="e">
        <f t="shared" ref="EL29:EL33" ca="1" si="183">EI29/EF29</f>
        <v>#NAME?</v>
      </c>
      <c r="EN29" t="e">
        <f t="shared" ref="EN29:EN33" ca="1" si="184">EF29/EG29</f>
        <v>#NAME?</v>
      </c>
      <c r="EO29" s="89" t="e">
        <f t="shared" ref="EO29:EO33" ca="1" si="185">$J29/EN29</f>
        <v>#NAME?</v>
      </c>
      <c r="EP29" s="64" t="s">
        <v>135</v>
      </c>
      <c r="EQ29" s="64" t="s">
        <v>136</v>
      </c>
      <c r="ER29" s="117" t="s">
        <v>137</v>
      </c>
      <c r="ES29" s="117" t="s">
        <v>138</v>
      </c>
      <c r="ET29" s="117" t="s">
        <v>139</v>
      </c>
      <c r="EU29" s="117" t="s">
        <v>140</v>
      </c>
      <c r="EV29" s="53" t="s">
        <v>141</v>
      </c>
      <c r="EW29" s="53" t="s">
        <v>142</v>
      </c>
      <c r="EX29" s="53" t="s">
        <v>143</v>
      </c>
      <c r="EY29" s="81" t="s">
        <v>175</v>
      </c>
      <c r="EZ29" s="1" t="e">
        <f ca="1">IF($C29="","",psi_i(a_iVal3,x_iVal8,$A29,Kij_Val,BIPset,$AC$3,COUNTA(Chem3)))</f>
        <v>#NAME?</v>
      </c>
      <c r="FA29" s="1" t="e">
        <f ca="1">IF($C29="","",psi_i(a_iVal3,y_iValDP,$A29,Kij_Val,BIPset,$AC$3,COUNTA(Chem3)))</f>
        <v>#NAME?</v>
      </c>
      <c r="FB29" s="1"/>
      <c r="FC29" s="1" t="e">
        <f t="shared" ref="FC29:FC37" ca="1" si="186">EO29*$O29</f>
        <v>#NAME?</v>
      </c>
      <c r="FD29" s="1" t="e">
        <f t="shared" ref="FD29:FD37" ca="1" si="187">$J29*$O29</f>
        <v>#NAME?</v>
      </c>
      <c r="FE29" s="1"/>
      <c r="FF29" s="1" t="e">
        <f ca="1">IF($C29="",0,phi_i($EY$28,$EP$28,$EQ$28,O29,$FE$28,EZ29,$FB$28))</f>
        <v>#NAME?</v>
      </c>
      <c r="FG29" s="1" t="e">
        <f ca="1">IF($C29="",0,phi_i($EY$30,$EP$30,$EQ$30,O29,$FE$31,FA29,$FB$31))</f>
        <v>#NAME?</v>
      </c>
      <c r="FH29" s="1" t="e">
        <f t="shared" ref="FH29:FH37" ca="1" si="188">FF29*EO29*$EM$28</f>
        <v>#NAME?</v>
      </c>
      <c r="FI29" s="1" t="e">
        <f t="shared" ref="FI29:FI37" ca="1" si="189">FG29*$J29*$EM$28</f>
        <v>#NAME?</v>
      </c>
      <c r="FJ29">
        <f t="shared" ref="FJ29:FJ37" ca="1" si="190">IFERROR((1-(FH29/FI29))^2,0)</f>
        <v>0</v>
      </c>
      <c r="FL29" t="e">
        <f t="shared" ref="FL29:FL33" ca="1" si="191">FI29/FF29</f>
        <v>#NAME?</v>
      </c>
      <c r="FN29" t="e">
        <f t="shared" ref="FN29:FN33" ca="1" si="192">FF29/FG29</f>
        <v>#NAME?</v>
      </c>
      <c r="FO29" s="89" t="e">
        <f t="shared" ref="FO29:FO33" ca="1" si="193">$J29/FN29</f>
        <v>#NAME?</v>
      </c>
      <c r="FP29" s="64" t="s">
        <v>135</v>
      </c>
      <c r="FQ29" s="64" t="s">
        <v>136</v>
      </c>
      <c r="FR29" s="117" t="s">
        <v>137</v>
      </c>
      <c r="FS29" s="117" t="s">
        <v>138</v>
      </c>
      <c r="FT29" s="117" t="s">
        <v>139</v>
      </c>
      <c r="FU29" s="117" t="s">
        <v>140</v>
      </c>
      <c r="FV29" s="53" t="s">
        <v>141</v>
      </c>
      <c r="FW29" s="53" t="s">
        <v>142</v>
      </c>
      <c r="FX29" s="53" t="s">
        <v>143</v>
      </c>
      <c r="FY29" s="81" t="s">
        <v>175</v>
      </c>
      <c r="FZ29" s="1" t="e">
        <f ca="1">IF($C29="","",psi_i(a_iVal3,x_iVal9,$A29,Kij_Val,BIPset,$AC$3,COUNTA(Chem3)))</f>
        <v>#NAME?</v>
      </c>
      <c r="GA29" s="1" t="e">
        <f ca="1">IF($C29="","",psi_i(a_iVal3,y_iValDP,$A29,Kij_Val,BIPset,$AC$3,COUNTA(Chem3)))</f>
        <v>#NAME?</v>
      </c>
      <c r="GB29" s="1"/>
      <c r="GC29" s="1" t="e">
        <f t="shared" ref="GC29:GC37" ca="1" si="194">FO29*$O29</f>
        <v>#NAME?</v>
      </c>
      <c r="GD29" s="1" t="e">
        <f t="shared" ref="GD29:GD37" ca="1" si="195">$J29*$O29</f>
        <v>#NAME?</v>
      </c>
      <c r="GE29" s="1"/>
      <c r="GF29" s="1" t="e">
        <f ca="1">IF($C29="",0,phi_i($FY$28,$FP$28,$FQ$28,O29,$GE$28,FZ29,$GB$28))</f>
        <v>#NAME?</v>
      </c>
      <c r="GG29" s="1" t="e">
        <f ca="1">IF($C29="",0,phi_i($FY$30,$FP$30,$FQ$30,O29,$GE$31,GA29,$GB$31))</f>
        <v>#NAME?</v>
      </c>
      <c r="GH29" s="1" t="e">
        <f t="shared" ref="GH29:GH37" ca="1" si="196">GF29*FO29*$FM$28</f>
        <v>#NAME?</v>
      </c>
      <c r="GI29" s="1" t="e">
        <f t="shared" ref="GI29:GI37" ca="1" si="197">GG29*$J29*$FM$28</f>
        <v>#NAME?</v>
      </c>
      <c r="GJ29" t="e">
        <f t="shared" ref="GJ29:GJ33" ca="1" si="198">(1-(GH29/GI29))^2</f>
        <v>#NAME?</v>
      </c>
      <c r="GL29" t="e">
        <f t="shared" ref="GL29:GL33" ca="1" si="199">GI29/GF29</f>
        <v>#NAME?</v>
      </c>
      <c r="GN29" t="e">
        <f t="shared" ref="GN29:GN33" ca="1" si="200">GF29/GG29</f>
        <v>#NAME?</v>
      </c>
      <c r="GO29" s="89" t="e">
        <f t="shared" ref="GO29:GO33" ca="1" si="201">$J29/GN29</f>
        <v>#NAME?</v>
      </c>
      <c r="GP29" s="64" t="s">
        <v>135</v>
      </c>
      <c r="GQ29" s="64" t="s">
        <v>136</v>
      </c>
      <c r="GR29" s="117" t="s">
        <v>137</v>
      </c>
      <c r="GS29" s="117" t="s">
        <v>138</v>
      </c>
      <c r="GT29" s="117" t="s">
        <v>139</v>
      </c>
      <c r="GU29" s="117" t="s">
        <v>140</v>
      </c>
      <c r="GV29" s="53" t="s">
        <v>141</v>
      </c>
      <c r="GW29" s="53" t="s">
        <v>142</v>
      </c>
      <c r="GX29" s="53" t="s">
        <v>143</v>
      </c>
      <c r="GY29" s="81" t="s">
        <v>175</v>
      </c>
      <c r="GZ29" s="1" t="e">
        <f ca="1">IF($C29="","",psi_i(a_iVal3,x_iVal10,$A29,Kij_Val,BIPset,$AC$3,COUNTA(Chem3)))</f>
        <v>#NAME?</v>
      </c>
      <c r="HA29" s="1" t="e">
        <f ca="1">IF($C29="","",psi_i(a_iVal3,y_iValDP,$A29,Kij_Val,BIPset,$AC$3,COUNTA(Chem3)))</f>
        <v>#NAME?</v>
      </c>
      <c r="HB29" s="1"/>
      <c r="HC29" s="1" t="e">
        <f t="shared" ref="HC29:HC37" ca="1" si="202">GO29*$O29</f>
        <v>#NAME?</v>
      </c>
      <c r="HD29" s="1" t="e">
        <f t="shared" ref="HD29:HD37" ca="1" si="203">$J29*$O29</f>
        <v>#NAME?</v>
      </c>
      <c r="HE29" s="1"/>
      <c r="HF29" s="1" t="e">
        <f ca="1">IF($C29="",0,phi_i($GY$28,$GP$28,$GQ$28,O29,$HE$28,GZ29,$HB$28))</f>
        <v>#NAME?</v>
      </c>
      <c r="HG29" s="1" t="e">
        <f ca="1">IF($C29="",0,phi_i($GY$30,$GP$30,$GQ$30,O29,$HE$31,HA29,$HB$31))</f>
        <v>#NAME?</v>
      </c>
      <c r="HH29" s="1" t="e">
        <f t="shared" ref="HH29:HH37" ca="1" si="204">HF29*GO29*$GM$28</f>
        <v>#NAME?</v>
      </c>
      <c r="HI29" s="1" t="e">
        <f t="shared" ref="HI29:HI37" ca="1" si="205">HG29*$J29*$GM$28</f>
        <v>#NAME?</v>
      </c>
      <c r="HJ29" t="e">
        <f t="shared" ref="HJ29:HJ33" ca="1" si="206">(1-(HH29/HI29))^2</f>
        <v>#NAME?</v>
      </c>
      <c r="HL29" t="e">
        <f t="shared" ref="HL29:HL33" ca="1" si="207">HI29/HF29</f>
        <v>#NAME?</v>
      </c>
      <c r="HN29" t="e">
        <f t="shared" ref="HN29:HN33" ca="1" si="208">HF29/HG29</f>
        <v>#NAME?</v>
      </c>
      <c r="HO29" s="89" t="e">
        <f t="shared" ref="HO29:HO33" ca="1" si="209">$J29/HN29</f>
        <v>#NAME?</v>
      </c>
      <c r="HP29" s="64" t="s">
        <v>135</v>
      </c>
      <c r="HQ29" s="64" t="s">
        <v>136</v>
      </c>
      <c r="HR29" s="117" t="s">
        <v>137</v>
      </c>
      <c r="HS29" s="117" t="s">
        <v>138</v>
      </c>
      <c r="HT29" s="117" t="s">
        <v>139</v>
      </c>
      <c r="HU29" s="117" t="s">
        <v>140</v>
      </c>
      <c r="HV29" s="53" t="s">
        <v>141</v>
      </c>
      <c r="HW29" s="53" t="s">
        <v>142</v>
      </c>
      <c r="HX29" s="53" t="s">
        <v>143</v>
      </c>
      <c r="HY29" s="81" t="s">
        <v>175</v>
      </c>
      <c r="HZ29" s="1" t="e">
        <f ca="1">IF($C29="","",psi_i(a_iVal3,x_iVal10,$A29,Kij_Val,BIPset,$AC$3,COUNTA(Chem3)))</f>
        <v>#NAME?</v>
      </c>
      <c r="IA29" s="1" t="e">
        <f ca="1">IF($C29="","",psi_i(a_iVal3,y_iValDP,$A29,Kij_Val,BIPset,$AC$3,COUNTA(Chem3)))</f>
        <v>#NAME?</v>
      </c>
      <c r="IB29" s="1"/>
      <c r="IC29" s="1" t="e">
        <f t="shared" ref="IC29:IC37" ca="1" si="210">HO29*$O29</f>
        <v>#NAME?</v>
      </c>
      <c r="ID29" s="1" t="e">
        <f t="shared" ref="ID29:ID37" ca="1" si="211">$J29*$O29</f>
        <v>#NAME?</v>
      </c>
      <c r="IE29" s="1"/>
      <c r="IF29" s="1" t="e">
        <f ca="1">IF($C29="",0,phi_i($GY$28,$GP$28,$GQ$28,AO29,$HE$28,HZ29,$HB$28))</f>
        <v>#NAME?</v>
      </c>
      <c r="IG29" s="1" t="e">
        <f ca="1">IF($C29="",0,phi_i($GY$30,$GP$30,$GQ$30,AO29,$HE$31,IA29,$HB$31))</f>
        <v>#NAME?</v>
      </c>
      <c r="IH29" s="1" t="e">
        <f t="shared" ref="IH29:IH37" ca="1" si="212">IF29*HO29*$GM$28</f>
        <v>#NAME?</v>
      </c>
      <c r="II29" s="1" t="e">
        <f t="shared" ref="II29:II37" ca="1" si="213">IG29*$J29*$GM$28</f>
        <v>#NAME?</v>
      </c>
      <c r="IJ29" t="e">
        <f t="shared" ref="IJ29:IJ33" ca="1" si="214">(1-(IH29/II29))^2</f>
        <v>#NAME?</v>
      </c>
      <c r="IL29" t="e">
        <f t="shared" ref="IL29:IL33" ca="1" si="215">II29/IF29</f>
        <v>#NAME?</v>
      </c>
      <c r="IN29" t="e">
        <f t="shared" ref="IN29:IN33" ca="1" si="216">IF29/IG29</f>
        <v>#NAME?</v>
      </c>
      <c r="IO29" s="89" t="e">
        <f t="shared" ref="IO29:IO33" ca="1" si="217">$J29/IN29</f>
        <v>#NAME?</v>
      </c>
    </row>
    <row r="30" spans="1:249">
      <c r="A30">
        <f t="shared" ref="A30:A37" si="218">A29+1</f>
        <v>3</v>
      </c>
      <c r="B30" s="18" t="str">
        <f>'Wilson BPDP'!B9</f>
        <v>MF Hexane</v>
      </c>
      <c r="C30" s="18">
        <f>'Wilson BPDP'!C9</f>
        <v>0.2</v>
      </c>
      <c r="D30" s="18" t="str">
        <f>'Wilson BPDP'!D9</f>
        <v>-</v>
      </c>
      <c r="E30" s="119">
        <f>Wilson!E9</f>
        <v>507.6</v>
      </c>
      <c r="F30" s="119">
        <f>Wilson!F9</f>
        <v>3040</v>
      </c>
      <c r="G30" s="119">
        <f>Wilson!G9</f>
        <v>0.26900000000000002</v>
      </c>
      <c r="H30" s="119">
        <f>Wilson!H9</f>
        <v>0.30399999999999999</v>
      </c>
      <c r="I30" s="119">
        <f t="shared" si="143"/>
        <v>0.59101654846335694</v>
      </c>
      <c r="J30" s="119">
        <f t="shared" si="144"/>
        <v>0.2</v>
      </c>
      <c r="L30" t="e">
        <f ca="1">'Wilson BPDP'!X9</f>
        <v>#NAME?</v>
      </c>
      <c r="M30" t="e">
        <f t="shared" ca="1" si="145"/>
        <v>#NAME?</v>
      </c>
      <c r="N30" t="e">
        <f ca="1">a_i($E30,$F30)*alpha($H30,$I30)</f>
        <v>#NAME?</v>
      </c>
      <c r="O30" t="e">
        <f t="shared" ca="1" si="142"/>
        <v>#NAME?</v>
      </c>
      <c r="P30" s="1" t="e">
        <f ca="1">INDEX(AB_Calc(a_iVal3, b_iVal3,y_iValDP,Kij_Val,COUNTA(Chem3),$AC$3,$C$26,$K$28,BIPset),1)</f>
        <v>#NAME?</v>
      </c>
      <c r="Q30" s="1" t="e">
        <f ca="1">INDEX(AB_Calc(a_iVal3, b_iVal3,y_iValDP,Kij_Val,COUNTA(Chem3),$AC$3,$C$26,$K$28,BIPset),2)</f>
        <v>#NAME?</v>
      </c>
      <c r="R30">
        <v>1</v>
      </c>
      <c r="S30" t="e">
        <f ca="1">-(1-Q30)</f>
        <v>#NAME?</v>
      </c>
      <c r="T30" t="e">
        <f ca="1">(P30-(2*Q30)-(3*Q30^2))</f>
        <v>#NAME?</v>
      </c>
      <c r="U30" t="e">
        <f ca="1">-((P30*Q30)-(Q30^2)-(Q30^3))</f>
        <v>#NAME?</v>
      </c>
      <c r="V30" t="b">
        <f ca="1">IFERROR(INDEX(CardanoMethod(R30:U30),1),FALSE)</f>
        <v>0</v>
      </c>
      <c r="W30" t="b">
        <f ca="1">IFERROR(INDEX(CardanoMethod(R30:U30),2),FALSE)</f>
        <v>0</v>
      </c>
      <c r="X30" t="b">
        <f ca="1">IFERROR(INDEX(CardanoMethod(R30:U30),3),FALSE)</f>
        <v>0</v>
      </c>
      <c r="Y30">
        <f ca="1">MAX(V30:X30)</f>
        <v>0</v>
      </c>
      <c r="Z30" s="1" t="e">
        <f ca="1">IF($C30="","",psi_i(a_iVal3,x_iVal3,$A30,Kij_Val,BIPset,$AC$3,COUNTA(Chem3)))</f>
        <v>#NAME?</v>
      </c>
      <c r="AA30" s="1" t="e">
        <f ca="1">IF($C30="","",psi_i(a_iVal3,y_iValDP,$A30,Kij_Val,BIPset,$AC$3,COUNTA(Chem3)))</f>
        <v>#NAME?</v>
      </c>
      <c r="AB30" s="64" t="s">
        <v>205</v>
      </c>
      <c r="AC30" s="1" t="e">
        <f t="shared" ca="1" si="146"/>
        <v>#NAME?</v>
      </c>
      <c r="AD30" s="1" t="e">
        <f t="shared" ca="1" si="147"/>
        <v>#NAME?</v>
      </c>
      <c r="AE30" s="84" t="s">
        <v>206</v>
      </c>
      <c r="AF30" s="1" t="e">
        <f ca="1">IF($C30="",0,phi_i($Y$28,$P$28,$Q$28,O30,$AE$28,Z30,$AB$28))</f>
        <v>#NAME?</v>
      </c>
      <c r="AG30" s="1" t="e">
        <f ca="1">IF($C30="",0,phi_i($Y$30,$P$30,$Q$30,O30,$AE$31,AA30,$AB$31))</f>
        <v>#NAME?</v>
      </c>
      <c r="AH30" s="1" t="e">
        <f t="shared" ca="1" si="148"/>
        <v>#NAME?</v>
      </c>
      <c r="AI30" s="1" t="e">
        <f t="shared" ca="1" si="149"/>
        <v>#NAME?</v>
      </c>
      <c r="AJ30">
        <f t="shared" ca="1" si="150"/>
        <v>0</v>
      </c>
      <c r="AK30" s="68" t="s">
        <v>207</v>
      </c>
      <c r="AL30" t="e">
        <f t="shared" ca="1" si="151"/>
        <v>#NAME?</v>
      </c>
      <c r="AN30" t="e">
        <f t="shared" ca="1" si="152"/>
        <v>#NAME?</v>
      </c>
      <c r="AO30" s="89" t="e">
        <f t="shared" ca="1" si="153"/>
        <v>#NAME?</v>
      </c>
      <c r="AP30" s="1" t="e">
        <f ca="1">INDEX(AB_Calc(a_iVal3, b_iVal3,y_iValDP,Kij_Val,COUNTA(Chem3),$AC$3,$C$26,$AM$28,BIPset),1)</f>
        <v>#NAME?</v>
      </c>
      <c r="AQ30" s="1" t="e">
        <f ca="1">INDEX(AB_Calc(a_iVal3, b_iVal3,y_iValDP,Kij_Val,COUNTA(Chem3),$AC$3,$C$26,$AM$28,BIPset),2)</f>
        <v>#NAME?</v>
      </c>
      <c r="AR30">
        <v>1</v>
      </c>
      <c r="AS30" t="e">
        <f ca="1">-(1-AQ30)</f>
        <v>#NAME?</v>
      </c>
      <c r="AT30" t="e">
        <f ca="1">(AP30-(2*AQ30)-(3*AQ30^2))</f>
        <v>#NAME?</v>
      </c>
      <c r="AU30" t="e">
        <f ca="1">-((AP30*AQ30)-(AQ30^2)-(AQ30^3))</f>
        <v>#NAME?</v>
      </c>
      <c r="AV30" t="b">
        <f ca="1">IFERROR(INDEX(CardanoMethod(AR30:AU30),1),FALSE)</f>
        <v>0</v>
      </c>
      <c r="AW30" t="b">
        <f ca="1">IFERROR(INDEX(CardanoMethod(AR30:AU30),2),FALSE)</f>
        <v>0</v>
      </c>
      <c r="AX30" t="b">
        <f ca="1">IFERROR(INDEX(CardanoMethod(AR30:AU30),3),FALSE)</f>
        <v>0</v>
      </c>
      <c r="AY30">
        <f ca="1">MAX(AV30:AX30)</f>
        <v>0</v>
      </c>
      <c r="AZ30" s="1" t="e">
        <f ca="1">IF($C30="","",psi_i(a_iVal3,x_iVal4,$A30,Kij_Val,BIPset,$AC$3,COUNTA(Chem3)))</f>
        <v>#NAME?</v>
      </c>
      <c r="BA30" s="1" t="e">
        <f ca="1">IF($C30="","",psi_i(a_iVal3,y_iValDP,$A30,Kij_Val,BIPset,$AC$3,COUNTA(Chem3)))</f>
        <v>#NAME?</v>
      </c>
      <c r="BB30" s="64" t="s">
        <v>205</v>
      </c>
      <c r="BC30" s="1" t="e">
        <f t="shared" ca="1" si="154"/>
        <v>#NAME?</v>
      </c>
      <c r="BD30" s="1" t="e">
        <f t="shared" ca="1" si="155"/>
        <v>#NAME?</v>
      </c>
      <c r="BE30" s="84" t="s">
        <v>206</v>
      </c>
      <c r="BF30" s="1" t="e">
        <f ca="1">IF($C30="",0,phi_i($AY$28,$AP$28,$AQ$28,O30,$BE$28,AZ30,$BB$28))</f>
        <v>#NAME?</v>
      </c>
      <c r="BG30" s="1" t="e">
        <f ca="1">IF($C30="",0,phi_i($AY$30,$AP$30,$AQ$30,O30,$BE$31,BA30,$BB$31))</f>
        <v>#NAME?</v>
      </c>
      <c r="BH30" s="1" t="e">
        <f t="shared" ca="1" si="156"/>
        <v>#NAME?</v>
      </c>
      <c r="BI30" s="1" t="e">
        <f t="shared" ca="1" si="157"/>
        <v>#NAME?</v>
      </c>
      <c r="BJ30">
        <f t="shared" ca="1" si="158"/>
        <v>0</v>
      </c>
      <c r="BK30" s="68" t="s">
        <v>207</v>
      </c>
      <c r="BL30" t="e">
        <f t="shared" ca="1" si="159"/>
        <v>#NAME?</v>
      </c>
      <c r="BN30" t="e">
        <f t="shared" ca="1" si="160"/>
        <v>#NAME?</v>
      </c>
      <c r="BO30" s="89" t="e">
        <f t="shared" ca="1" si="161"/>
        <v>#NAME?</v>
      </c>
      <c r="BP30" s="1" t="e">
        <f ca="1">INDEX(AB_Calc(a_iVal3, b_iVal3,y_iValDP,Kij_Val,COUNTA(Chem3),$AC$3,$C$26,$BM$28,BIPset),1)</f>
        <v>#NAME?</v>
      </c>
      <c r="BQ30" s="1" t="e">
        <f ca="1">INDEX(AB_Calc(a_iVal3, b_iVal3,y_iValDP,Kij_Val,COUNTA(Chem3),$AC$3,$C$26,$BM$28,BIPset),2)</f>
        <v>#NAME?</v>
      </c>
      <c r="BR30">
        <v>1</v>
      </c>
      <c r="BS30" t="e">
        <f ca="1">-(1-BQ30)</f>
        <v>#NAME?</v>
      </c>
      <c r="BT30" t="e">
        <f ca="1">(BP30-(2*BQ30)-(3*BQ30^2))</f>
        <v>#NAME?</v>
      </c>
      <c r="BU30" t="e">
        <f ca="1">-((BP30*BQ30)-(BQ30^2)-(BQ30^3))</f>
        <v>#NAME?</v>
      </c>
      <c r="BV30" t="b">
        <f ca="1">IFERROR(INDEX(CardanoMethod(BR30:BU30),1),FALSE)</f>
        <v>0</v>
      </c>
      <c r="BW30" t="b">
        <f ca="1">IFERROR(INDEX(CardanoMethod(BR30:BU30),2),FALSE)</f>
        <v>0</v>
      </c>
      <c r="BX30" t="b">
        <f ca="1">IFERROR(INDEX(CardanoMethod(BR30:BU30),3),FALSE)</f>
        <v>0</v>
      </c>
      <c r="BY30">
        <f ca="1">MAX(BV30:BX30)</f>
        <v>0</v>
      </c>
      <c r="BZ30" s="1" t="e">
        <f ca="1">IF($C30="","",psi_i(a_iVal3,x_iVal5,$A30,Kij_Val,BIPset,$AC$3,COUNTA(Chem3)))</f>
        <v>#NAME?</v>
      </c>
      <c r="CA30" s="1" t="e">
        <f ca="1">IF($C30="","",psi_i(a_iVal3,y_iValDP,$A30,Kij_Val,BIPset,$AC$3,COUNTA(Chem3)))</f>
        <v>#NAME?</v>
      </c>
      <c r="CB30" s="64" t="s">
        <v>205</v>
      </c>
      <c r="CC30" s="1" t="e">
        <f t="shared" ca="1" si="162"/>
        <v>#NAME?</v>
      </c>
      <c r="CD30" s="1" t="e">
        <f t="shared" ca="1" si="163"/>
        <v>#NAME?</v>
      </c>
      <c r="CE30" s="84" t="s">
        <v>206</v>
      </c>
      <c r="CF30" s="1" t="e">
        <f ca="1">IF($C30="",0,phi_i($BY$28,$BP$28,$BQ$28,O30,$CE$28,BZ30,$CB$28))</f>
        <v>#NAME?</v>
      </c>
      <c r="CG30" s="1" t="e">
        <f ca="1">IF($C30="",0,phi_i($BY$30,$BP$30,$BQ$30,O30,$CE$31,CA30,$CB$31))</f>
        <v>#NAME?</v>
      </c>
      <c r="CH30" s="1" t="e">
        <f t="shared" ca="1" si="164"/>
        <v>#NAME?</v>
      </c>
      <c r="CI30" s="1" t="e">
        <f t="shared" ca="1" si="165"/>
        <v>#NAME?</v>
      </c>
      <c r="CJ30">
        <f t="shared" ca="1" si="166"/>
        <v>0</v>
      </c>
      <c r="CK30" s="68" t="s">
        <v>207</v>
      </c>
      <c r="CL30" t="e">
        <f t="shared" ca="1" si="167"/>
        <v>#NAME?</v>
      </c>
      <c r="CN30" t="e">
        <f t="shared" ca="1" si="168"/>
        <v>#NAME?</v>
      </c>
      <c r="CO30" s="89" t="e">
        <f t="shared" ca="1" si="169"/>
        <v>#NAME?</v>
      </c>
      <c r="CP30" s="1" t="e">
        <f ca="1">INDEX(AB_Calc(a_iVal3, b_iVal3,y_iValDP,Kij_Val,COUNTA(Chem3),$AC$3,$C$26,$CM$28,BIPset),1)</f>
        <v>#NAME?</v>
      </c>
      <c r="CQ30" s="1" t="e">
        <f ca="1">INDEX(AB_Calc(a_iVal3, b_iVal3,y_iValDP,Kij_Val,COUNTA(Chem3),$AC$3,$C$26,$CM$28,BIPset),2)</f>
        <v>#NAME?</v>
      </c>
      <c r="CR30">
        <v>1</v>
      </c>
      <c r="CS30" t="e">
        <f ca="1">-(1-CQ30)</f>
        <v>#NAME?</v>
      </c>
      <c r="CT30" t="e">
        <f ca="1">(CP30-(2*CQ30)-(3*CQ30^2))</f>
        <v>#NAME?</v>
      </c>
      <c r="CU30" t="e">
        <f ca="1">-((CP30*CQ30)-(CQ30^2)-(CQ30^3))</f>
        <v>#NAME?</v>
      </c>
      <c r="CV30" t="b">
        <f ca="1">IFERROR(INDEX(CardanoMethod(CR30:CU30),1),FALSE)</f>
        <v>0</v>
      </c>
      <c r="CW30" t="b">
        <f ca="1">IFERROR(INDEX(CardanoMethod(CR30:CU30),2),FALSE)</f>
        <v>0</v>
      </c>
      <c r="CX30" t="b">
        <f ca="1">IFERROR(INDEX(CardanoMethod(CR30:CU30),3),FALSE)</f>
        <v>0</v>
      </c>
      <c r="CY30">
        <f ca="1">MAX(CV30:CX30)</f>
        <v>0</v>
      </c>
      <c r="CZ30" s="1" t="e">
        <f ca="1">IF($C30="","",psi_i(a_iVal3,x_iVal6,$A30,Kij_Val,BIPset,$AC$3,COUNTA(Chem3)))</f>
        <v>#NAME?</v>
      </c>
      <c r="DA30" s="1" t="e">
        <f ca="1">IF($C30="","",psi_i(a_iVal3,y_iValDP,$A30,Kij_Val,BIPset,$AC$3,COUNTA(Chem3)))</f>
        <v>#NAME?</v>
      </c>
      <c r="DB30" s="64" t="s">
        <v>205</v>
      </c>
      <c r="DC30" s="1" t="e">
        <f t="shared" ca="1" si="170"/>
        <v>#NAME?</v>
      </c>
      <c r="DD30" s="1" t="e">
        <f t="shared" ca="1" si="171"/>
        <v>#NAME?</v>
      </c>
      <c r="DE30" s="84" t="s">
        <v>206</v>
      </c>
      <c r="DF30" s="1" t="e">
        <f ca="1">IF($C30="",0,phi_i($CY$28,$CP$28,$CQ$28,O30,$DE$28,CZ30,$DB$28))</f>
        <v>#NAME?</v>
      </c>
      <c r="DG30" s="1" t="e">
        <f ca="1">IF($C30="",0,phi_i($CY$30,$CP$30,$CQ$30,O30,$DE$31,DA30,$DB$31))</f>
        <v>#NAME?</v>
      </c>
      <c r="DH30" s="1" t="e">
        <f t="shared" ca="1" si="172"/>
        <v>#NAME?</v>
      </c>
      <c r="DI30" s="1" t="e">
        <f t="shared" ca="1" si="173"/>
        <v>#NAME?</v>
      </c>
      <c r="DJ30">
        <f t="shared" ca="1" si="174"/>
        <v>0</v>
      </c>
      <c r="DK30" s="68" t="s">
        <v>207</v>
      </c>
      <c r="DL30" t="e">
        <f t="shared" ca="1" si="175"/>
        <v>#NAME?</v>
      </c>
      <c r="DN30" t="e">
        <f t="shared" ca="1" si="176"/>
        <v>#NAME?</v>
      </c>
      <c r="DO30" s="89" t="e">
        <f t="shared" ca="1" si="177"/>
        <v>#NAME?</v>
      </c>
      <c r="DP30" s="1" t="e">
        <f ca="1">INDEX(AB_Calc(a_iVal3, b_iVal3,y_iValDP,Kij_Val,COUNTA(Chem3),$AC$3,$C$26,$DM$28,BIPset),1)</f>
        <v>#NAME?</v>
      </c>
      <c r="DQ30" s="1" t="e">
        <f ca="1">INDEX(AB_Calc(a_iVal3, b_iVal3,y_iValDP,Kij_Val,COUNTA(Chem3),$AC$3,$C$26,$DM$28,BIPset),2)</f>
        <v>#NAME?</v>
      </c>
      <c r="DR30">
        <v>1</v>
      </c>
      <c r="DS30" t="e">
        <f ca="1">-(1-DQ30)</f>
        <v>#NAME?</v>
      </c>
      <c r="DT30" t="e">
        <f ca="1">(DP30-(2*DQ30)-(3*DQ30^2))</f>
        <v>#NAME?</v>
      </c>
      <c r="DU30" t="e">
        <f ca="1">-((DP30*DQ30)-(DQ30^2)-(DQ30^3))</f>
        <v>#NAME?</v>
      </c>
      <c r="DV30" t="b">
        <f ca="1">IFERROR(INDEX(CardanoMethod(DR30:DU30),1),FALSE)</f>
        <v>0</v>
      </c>
      <c r="DW30" t="b">
        <f ca="1">IFERROR(INDEX(CardanoMethod(DR30:DU30),2),FALSE)</f>
        <v>0</v>
      </c>
      <c r="DX30" t="b">
        <f ca="1">IFERROR(INDEX(CardanoMethod(DR30:DU30),3),FALSE)</f>
        <v>0</v>
      </c>
      <c r="DY30">
        <f ca="1">MAX(DV30:DX30)</f>
        <v>0</v>
      </c>
      <c r="DZ30" s="1" t="e">
        <f ca="1">IF($C30="","",psi_i(a_iVal3,x_iVal7,$A30,Kij_Val,BIPset,$AC$3,COUNTA(Chem3)))</f>
        <v>#NAME?</v>
      </c>
      <c r="EA30" s="1" t="e">
        <f ca="1">IF($C30="","",psi_i(a_iVal3,y_iValDP,$A30,Kij_Val,BIPset,$AC$3,COUNTA(Chem3)))</f>
        <v>#NAME?</v>
      </c>
      <c r="EB30" s="64" t="s">
        <v>205</v>
      </c>
      <c r="EC30" s="1" t="e">
        <f t="shared" ca="1" si="178"/>
        <v>#NAME?</v>
      </c>
      <c r="ED30" s="1" t="e">
        <f t="shared" ca="1" si="179"/>
        <v>#NAME?</v>
      </c>
      <c r="EE30" s="84" t="s">
        <v>206</v>
      </c>
      <c r="EF30" s="1" t="e">
        <f ca="1">IF($C30="",0,phi_i($DY$28,$DP$28,$DQ$28,O30,$EE$28,DZ30,$EB$28))</f>
        <v>#NAME?</v>
      </c>
      <c r="EG30" s="1" t="e">
        <f ca="1">IF($C30="",0,phi_i($DY$30,$DP$30,$DQ$30,O30,$EE$31,DZ30,$EB$31))</f>
        <v>#NAME?</v>
      </c>
      <c r="EH30" s="1" t="e">
        <f t="shared" ca="1" si="180"/>
        <v>#NAME?</v>
      </c>
      <c r="EI30" s="1" t="e">
        <f t="shared" ca="1" si="181"/>
        <v>#NAME?</v>
      </c>
      <c r="EJ30">
        <f t="shared" ca="1" si="182"/>
        <v>0</v>
      </c>
      <c r="EK30" s="68" t="s">
        <v>207</v>
      </c>
      <c r="EL30" t="e">
        <f t="shared" ca="1" si="183"/>
        <v>#NAME?</v>
      </c>
      <c r="EN30" t="e">
        <f t="shared" ca="1" si="184"/>
        <v>#NAME?</v>
      </c>
      <c r="EO30" s="89" t="e">
        <f t="shared" ca="1" si="185"/>
        <v>#NAME?</v>
      </c>
      <c r="EP30" s="1" t="e">
        <f ca="1">INDEX(AB_Calc(a_iVal3, b_iVal3,y_iValDP,Kij_Val,COUNTA(Chem3),$AC$3,$C$26,$EM$28,BIPset),1)</f>
        <v>#NAME?</v>
      </c>
      <c r="EQ30" s="1" t="e">
        <f ca="1">INDEX(AB_Calc(a_iVal3, b_iVal3,y_iValDP,Kij_Val,COUNTA(Chem3),$AC$3,$C$26,$EM$28,BIPset),2)</f>
        <v>#NAME?</v>
      </c>
      <c r="ER30">
        <v>1</v>
      </c>
      <c r="ES30" t="e">
        <f ca="1">-(1-EQ30)</f>
        <v>#NAME?</v>
      </c>
      <c r="ET30" t="e">
        <f ca="1">(EP30-(2*EQ30)-(3*EQ30^2))</f>
        <v>#NAME?</v>
      </c>
      <c r="EU30" t="e">
        <f ca="1">-((EP30*EQ30)-(EQ30^2)-(EQ30^3))</f>
        <v>#NAME?</v>
      </c>
      <c r="EV30" t="b">
        <f ca="1">IFERROR(INDEX(CardanoMethod(ER30:EU30),1),FALSE)</f>
        <v>0</v>
      </c>
      <c r="EW30" t="b">
        <f ca="1">IFERROR(INDEX(CardanoMethod(ER30:EU30),2),FALSE)</f>
        <v>0</v>
      </c>
      <c r="EX30" t="b">
        <f ca="1">IFERROR(INDEX(CardanoMethod(ER30:EU30),3),FALSE)</f>
        <v>0</v>
      </c>
      <c r="EY30">
        <f ca="1">MAX(EV30:EX30)</f>
        <v>0</v>
      </c>
      <c r="EZ30" s="1" t="e">
        <f ca="1">IF($C30="","",psi_i(a_iVal3,x_iVal8,$A30,Kij_Val,BIPset,$AC$3,COUNTA(Chem3)))</f>
        <v>#NAME?</v>
      </c>
      <c r="FA30" s="1" t="e">
        <f ca="1">IF($C30="","",psi_i(a_iVal3,y_iValDP,$A30,Kij_Val,BIPset,$AC$3,COUNTA(Chem3)))</f>
        <v>#NAME?</v>
      </c>
      <c r="FB30" s="64" t="s">
        <v>205</v>
      </c>
      <c r="FC30" s="1" t="e">
        <f t="shared" ca="1" si="186"/>
        <v>#NAME?</v>
      </c>
      <c r="FD30" s="1" t="e">
        <f t="shared" ca="1" si="187"/>
        <v>#NAME?</v>
      </c>
      <c r="FE30" s="84" t="s">
        <v>206</v>
      </c>
      <c r="FF30" s="1" t="e">
        <f ca="1">IF($C30="",0,phi_i($EY$28,$EP$28,$EQ$28,O30,$FE$28,EZ30,$FB$28))</f>
        <v>#NAME?</v>
      </c>
      <c r="FG30" s="1" t="e">
        <f ca="1">IF($C30="",0,phi_i($EY$30,$EP$30,$EQ$30,O30,$FE$31,FA30,$FB$31))</f>
        <v>#NAME?</v>
      </c>
      <c r="FH30" s="1" t="e">
        <f t="shared" ca="1" si="188"/>
        <v>#NAME?</v>
      </c>
      <c r="FI30" s="1" t="e">
        <f t="shared" ca="1" si="189"/>
        <v>#NAME?</v>
      </c>
      <c r="FJ30">
        <f t="shared" ca="1" si="190"/>
        <v>0</v>
      </c>
      <c r="FK30" s="68" t="s">
        <v>207</v>
      </c>
      <c r="FL30" t="e">
        <f t="shared" ca="1" si="191"/>
        <v>#NAME?</v>
      </c>
      <c r="FN30" t="e">
        <f t="shared" ca="1" si="192"/>
        <v>#NAME?</v>
      </c>
      <c r="FO30" s="89" t="e">
        <f t="shared" ca="1" si="193"/>
        <v>#NAME?</v>
      </c>
      <c r="FP30" s="1" t="e">
        <f ca="1">INDEX(AB_Calc(a_iVal3, b_iVal3,y_iValDP,Kij_Val,COUNTA(Chem3),$AC$3,$C$26,$FM$28,BIPset),1)</f>
        <v>#NAME?</v>
      </c>
      <c r="FQ30" s="1" t="e">
        <f ca="1">INDEX(AB_Calc(a_iVal3, b_iVal3,y_iValDP,Kij_Val,COUNTA(Chem3),$AC$3,$C$26,$FM$28,BIPset),2)</f>
        <v>#NAME?</v>
      </c>
      <c r="FR30">
        <v>1</v>
      </c>
      <c r="FS30" t="e">
        <f ca="1">-(1-FQ30)</f>
        <v>#NAME?</v>
      </c>
      <c r="FT30" t="e">
        <f ca="1">(FP30-(2*FQ30)-(3*FQ30^2))</f>
        <v>#NAME?</v>
      </c>
      <c r="FU30" t="e">
        <f ca="1">-((FP30*FQ30)-(FQ30^2)-(FQ30^3))</f>
        <v>#NAME?</v>
      </c>
      <c r="FV30" t="b">
        <f ca="1">IF(IFERROR(INDEX(CardanoMethod(FR30:FU30),1),FALSE) &lt; 0, FALSE,IFERROR(INDEX(CardanoMethod(FR30:FU30),1),FALSE))</f>
        <v>0</v>
      </c>
      <c r="FW30" t="b">
        <f ca="1">IF(IFERROR(INDEX(CardanoMethod(FR30:FU30),2),FALSE) &lt; 0, FALSE,IFERROR(INDEX(CardanoMethod(FR30:FU30),2),FALSE))</f>
        <v>0</v>
      </c>
      <c r="FX30" t="b">
        <f ca="1">IF(IFERROR(INDEX(CardanoMethod(FR30:FU30),3),FALSE) &lt; 0, FALSE,IFERROR(INDEX(CardanoMethod(FR30:FU30),3),FALSE))</f>
        <v>0</v>
      </c>
      <c r="FY30">
        <f ca="1">MAX(FV30:FX30)</f>
        <v>0</v>
      </c>
      <c r="FZ30" s="1" t="e">
        <f ca="1">IF($C30="","",psi_i(a_iVal3,x_iVal9,$A30,Kij_Val,BIPset,$AC$3,COUNTA(Chem3)))</f>
        <v>#NAME?</v>
      </c>
      <c r="GA30" s="1" t="e">
        <f ca="1">IF($C30="","",psi_i(a_iVal3,y_iValDP,$A30,Kij_Val,BIPset,$AC$3,COUNTA(Chem3)))</f>
        <v>#NAME?</v>
      </c>
      <c r="GB30" s="64" t="s">
        <v>205</v>
      </c>
      <c r="GC30" s="1" t="e">
        <f t="shared" ca="1" si="194"/>
        <v>#NAME?</v>
      </c>
      <c r="GD30" s="1" t="e">
        <f t="shared" ca="1" si="195"/>
        <v>#NAME?</v>
      </c>
      <c r="GE30" s="84" t="s">
        <v>206</v>
      </c>
      <c r="GF30" s="1" t="e">
        <f ca="1">IF($C30="",0,phi_i($FY$28,$FP$28,$FQ$28,O30,$GE$28,FZ30,$GB$28))</f>
        <v>#NAME?</v>
      </c>
      <c r="GG30" s="1" t="e">
        <f ca="1">IF($C30="",0,phi_i($FY$30,$FP$30,$FQ$30,O30,$GE$31,GA30,$GB$31))</f>
        <v>#NAME?</v>
      </c>
      <c r="GH30" s="1" t="e">
        <f t="shared" ca="1" si="196"/>
        <v>#NAME?</v>
      </c>
      <c r="GI30" s="1" t="e">
        <f t="shared" ca="1" si="197"/>
        <v>#NAME?</v>
      </c>
      <c r="GJ30" t="e">
        <f t="shared" ca="1" si="198"/>
        <v>#NAME?</v>
      </c>
      <c r="GK30" s="68" t="s">
        <v>207</v>
      </c>
      <c r="GL30" t="e">
        <f t="shared" ca="1" si="199"/>
        <v>#NAME?</v>
      </c>
      <c r="GN30" t="e">
        <f t="shared" ca="1" si="200"/>
        <v>#NAME?</v>
      </c>
      <c r="GO30" s="89" t="e">
        <f t="shared" ca="1" si="201"/>
        <v>#NAME?</v>
      </c>
      <c r="GP30" s="1" t="e">
        <f ca="1">INDEX(AB_Calc(a_iVal3, b_iVal3,y_iValDP,Kij_Val,COUNTA(Chem3),$AC$3,$C$26,$GM$28,BIPset),1)</f>
        <v>#NAME?</v>
      </c>
      <c r="GQ30" s="1" t="e">
        <f ca="1">INDEX(AB_Calc(a_iVal3, b_iVal3,y_iValDP,Kij_Val,COUNTA(Chem3),$AC$3,$C$26,$GM$28,BIPset),2)</f>
        <v>#NAME?</v>
      </c>
      <c r="GR30">
        <v>1</v>
      </c>
      <c r="GS30" t="e">
        <f ca="1">-(1-GQ30)</f>
        <v>#NAME?</v>
      </c>
      <c r="GT30" t="e">
        <f ca="1">(GP30-(2*GQ30)-(3*GQ30^2))</f>
        <v>#NAME?</v>
      </c>
      <c r="GU30" t="e">
        <f ca="1">-((GP30*GQ30)-(GQ30^2)-(GQ30^3))</f>
        <v>#NAME?</v>
      </c>
      <c r="GV30" t="b">
        <f ca="1">IF(IFERROR(INDEX(CardanoMethod(GR30:GU30),1),FALSE) &lt; 0, FALSE,IFERROR(INDEX(CardanoMethod(GR30:GU30),1),FALSE))</f>
        <v>0</v>
      </c>
      <c r="GW30" t="b">
        <f ca="1">IF(IFERROR(INDEX(CardanoMethod(GR30:GU30),2),FALSE) &lt; 0, FALSE,IFERROR(INDEX(CardanoMethod(GR30:GU30),2),FALSE))</f>
        <v>0</v>
      </c>
      <c r="GX30" t="b">
        <f ca="1">IF(IFERROR(INDEX(CardanoMethod(GR30:GU30),3),FALSE) &lt; 0, FALSE,IFERROR(INDEX(CardanoMethod(GR30:GU30),3),FALSE))</f>
        <v>0</v>
      </c>
      <c r="GY30">
        <f ca="1">MAX(GV30:GX30)</f>
        <v>0</v>
      </c>
      <c r="GZ30" s="1" t="e">
        <f ca="1">IF($C30="","",psi_i(a_iVal3,x_iVal10,$A30,Kij_Val,BIPset,$AC$3,COUNTA(Chem3)))</f>
        <v>#NAME?</v>
      </c>
      <c r="HA30" s="1" t="e">
        <f ca="1">IF($C30="","",psi_i(a_iVal3,y_iValDP,$A30,Kij_Val,BIPset,$AC$3,COUNTA(Chem3)))</f>
        <v>#NAME?</v>
      </c>
      <c r="HB30" s="64" t="s">
        <v>205</v>
      </c>
      <c r="HC30" s="1" t="e">
        <f t="shared" ca="1" si="202"/>
        <v>#NAME?</v>
      </c>
      <c r="HD30" s="1" t="e">
        <f t="shared" ca="1" si="203"/>
        <v>#NAME?</v>
      </c>
      <c r="HE30" s="84" t="s">
        <v>206</v>
      </c>
      <c r="HF30" s="1" t="e">
        <f ca="1">IF($C30="",0,phi_i($GY$28,$GP$28,$GQ$28,O30,$HE$28,GZ30,$HB$28))</f>
        <v>#NAME?</v>
      </c>
      <c r="HG30" s="1" t="e">
        <f ca="1">IF($C30="",0,phi_i($GY$30,$GP$30,$GQ$30,O30,$HE$31,HA30,$HB$31))</f>
        <v>#NAME?</v>
      </c>
      <c r="HH30" s="1" t="e">
        <f t="shared" ca="1" si="204"/>
        <v>#NAME?</v>
      </c>
      <c r="HI30" s="1" t="e">
        <f t="shared" ca="1" si="205"/>
        <v>#NAME?</v>
      </c>
      <c r="HJ30" t="e">
        <f t="shared" ca="1" si="206"/>
        <v>#NAME?</v>
      </c>
      <c r="HK30" s="68" t="s">
        <v>207</v>
      </c>
      <c r="HL30" t="e">
        <f t="shared" ca="1" si="207"/>
        <v>#NAME?</v>
      </c>
      <c r="HN30" t="e">
        <f t="shared" ca="1" si="208"/>
        <v>#NAME?</v>
      </c>
      <c r="HO30" s="89" t="e">
        <f t="shared" ca="1" si="209"/>
        <v>#NAME?</v>
      </c>
      <c r="HP30" s="1" t="e">
        <f ca="1">INDEX(AB_Calc(a_iVal3, b_iVal3,y_iValDP,Kij_Val,COUNTA(Chem3),$AC$3,$C$26,$HM$28,BIPset),1)</f>
        <v>#NAME?</v>
      </c>
      <c r="HQ30" s="1" t="e">
        <f ca="1">INDEX(AB_Calc(a_iVal3, b_iVal3,y_iValDP,Kij_Val,COUNTA(Chem3),$AC$3,$C$26,$HM$28,BIPset),2)</f>
        <v>#NAME?</v>
      </c>
      <c r="HR30">
        <v>1</v>
      </c>
      <c r="HS30" t="e">
        <f ca="1">-(1-HQ30)</f>
        <v>#NAME?</v>
      </c>
      <c r="HT30" t="e">
        <f ca="1">(HP30-(2*HQ30)-(3*HQ30^2))</f>
        <v>#NAME?</v>
      </c>
      <c r="HU30" t="e">
        <f ca="1">-((HP30*HQ30)-(HQ30^2)-(HQ30^3))</f>
        <v>#NAME?</v>
      </c>
      <c r="HV30" t="b">
        <f ca="1">IF(IFERROR(INDEX(CardanoMethod(HR30:HU30),1),FALSE) &lt; 0, FALSE,IFERROR(INDEX(CardanoMethod(HR30:HU30),1),FALSE))</f>
        <v>0</v>
      </c>
      <c r="HW30" t="b">
        <f ca="1">IF(IFERROR(INDEX(CardanoMethod(HR30:HU30),2),FALSE) &lt; 0, FALSE,IFERROR(INDEX(CardanoMethod(HR30:HU30),2),FALSE))</f>
        <v>0</v>
      </c>
      <c r="HX30" t="b">
        <f ca="1">IF(IFERROR(INDEX(CardanoMethod(HR30:HU30),3),FALSE) &lt; 0, FALSE,IFERROR(INDEX(CardanoMethod(HR30:HU30),3),FALSE))</f>
        <v>0</v>
      </c>
      <c r="HY30">
        <f ca="1">MAX(HV30:HX30)</f>
        <v>0</v>
      </c>
      <c r="HZ30" s="1" t="e">
        <f ca="1">IF($C30="","",psi_i(a_iVal3,x_iVal10,$A30,Kij_Val,BIPset,$AC$3,COUNTA(Chem3)))</f>
        <v>#NAME?</v>
      </c>
      <c r="IA30" s="1" t="e">
        <f ca="1">IF($C30="","",psi_i(a_iVal3,y_iValDP,$A30,Kij_Val,BIPset,$AC$3,COUNTA(Chem3)))</f>
        <v>#NAME?</v>
      </c>
      <c r="IB30" s="64" t="s">
        <v>205</v>
      </c>
      <c r="IC30" s="1" t="e">
        <f t="shared" ca="1" si="210"/>
        <v>#NAME?</v>
      </c>
      <c r="ID30" s="1" t="e">
        <f t="shared" ca="1" si="211"/>
        <v>#NAME?</v>
      </c>
      <c r="IE30" s="84" t="s">
        <v>206</v>
      </c>
      <c r="IF30" s="1" t="e">
        <f ca="1">IF($C30="",0,phi_i($GY$28,$GP$28,$GQ$28,AO30,$HE$28,HZ30,$HB$28))</f>
        <v>#NAME?</v>
      </c>
      <c r="IG30" s="1" t="e">
        <f ca="1">IF($C30="",0,phi_i($GY$30,$GP$30,$GQ$30,AO30,$HE$31,IA30,$HB$31))</f>
        <v>#NAME?</v>
      </c>
      <c r="IH30" s="1" t="e">
        <f t="shared" ca="1" si="212"/>
        <v>#NAME?</v>
      </c>
      <c r="II30" s="1" t="e">
        <f t="shared" ca="1" si="213"/>
        <v>#NAME?</v>
      </c>
      <c r="IJ30" t="e">
        <f t="shared" ca="1" si="214"/>
        <v>#NAME?</v>
      </c>
      <c r="IK30" s="68" t="s">
        <v>207</v>
      </c>
      <c r="IL30" t="e">
        <f t="shared" ca="1" si="215"/>
        <v>#NAME?</v>
      </c>
      <c r="IN30" t="e">
        <f t="shared" ca="1" si="216"/>
        <v>#NAME?</v>
      </c>
      <c r="IO30" s="89" t="e">
        <f t="shared" ca="1" si="217"/>
        <v>#NAME?</v>
      </c>
    </row>
    <row r="31" spans="1:249">
      <c r="A31">
        <f t="shared" si="218"/>
        <v>4</v>
      </c>
      <c r="B31" s="18" t="str">
        <f>'Wilson BPDP'!B10</f>
        <v>MF Cyclohexane</v>
      </c>
      <c r="C31" s="18">
        <f>'Wilson BPDP'!C10</f>
        <v>0.2</v>
      </c>
      <c r="D31" s="18" t="str">
        <f>'Wilson BPDP'!D10</f>
        <v>-</v>
      </c>
      <c r="E31" s="119">
        <f>Wilson!E10</f>
        <v>553.58000000000004</v>
      </c>
      <c r="F31" s="119">
        <f>Wilson!F10</f>
        <v>4100</v>
      </c>
      <c r="G31" s="119">
        <f>Wilson!G10</f>
        <v>0.27400000000000002</v>
      </c>
      <c r="H31" s="119">
        <f>Wilson!H10</f>
        <v>0.21199999999999999</v>
      </c>
      <c r="I31" s="119">
        <f t="shared" si="143"/>
        <v>0.54192709274178974</v>
      </c>
      <c r="J31" s="119">
        <f t="shared" si="144"/>
        <v>0.2</v>
      </c>
      <c r="L31" t="e">
        <f ca="1">'Wilson BPDP'!X10</f>
        <v>#NAME?</v>
      </c>
      <c r="M31" t="e">
        <f t="shared" ca="1" si="145"/>
        <v>#NAME?</v>
      </c>
      <c r="N31" t="e">
        <f ca="1">a_i($E31,$F31)*alpha($H31,$I31)</f>
        <v>#NAME?</v>
      </c>
      <c r="O31" t="e">
        <f t="shared" ca="1" si="142"/>
        <v>#NAME?</v>
      </c>
      <c r="P31" s="1"/>
      <c r="Q31" s="1"/>
      <c r="Z31" s="1" t="e">
        <f ca="1">IF($C31="","",psi_i(a_iVal3,x_iVal3,$A31,Kij_Val,BIPset,$AC$3,COUNTA(Chem3)))</f>
        <v>#NAME?</v>
      </c>
      <c r="AA31" s="1" t="e">
        <f ca="1">IF($C31="","",psi_i(a_iVal3,y_iValDP,$A31,Kij_Val,BIPset,$AC$3,COUNTA(Chem3)))</f>
        <v>#NAME?</v>
      </c>
      <c r="AB31" s="1" t="e">
        <f ca="1">psiSUM(a_iVal3,y_iValDP,Kij_Val,BIPset,$AE$3,COUNTA(Chem3))</f>
        <v>#NAME?</v>
      </c>
      <c r="AC31" s="1" t="e">
        <f t="shared" ca="1" si="146"/>
        <v>#NAME?</v>
      </c>
      <c r="AD31" s="1" t="e">
        <f t="shared" ca="1" si="147"/>
        <v>#NAME?</v>
      </c>
      <c r="AE31" s="1" t="e">
        <f ca="1">SUM(AD28:AD37)</f>
        <v>#NAME?</v>
      </c>
      <c r="AF31" s="1" t="e">
        <f ca="1">IF($C31="",0,phi_i($Y$28,$P$28,$Q$28,O31,$AE$28,Z31,$AB$28))</f>
        <v>#NAME?</v>
      </c>
      <c r="AG31" s="1" t="e">
        <f ca="1">IF($C31="",0,phi_i($Y$30,$P$30,$Q$30,O31,$AE$31,AA31,$AB$31))</f>
        <v>#NAME?</v>
      </c>
      <c r="AH31" s="1" t="e">
        <f t="shared" ca="1" si="148"/>
        <v>#NAME?</v>
      </c>
      <c r="AI31" s="1" t="e">
        <f t="shared" ca="1" si="149"/>
        <v>#NAME?</v>
      </c>
      <c r="AJ31">
        <f t="shared" ca="1" si="150"/>
        <v>0</v>
      </c>
      <c r="AK31" t="str">
        <f ca="1">IF(AK28&gt;0.000000001,"Keep Iterating","Stop Iterating")</f>
        <v>Stop Iterating</v>
      </c>
      <c r="AL31" t="e">
        <f t="shared" ca="1" si="151"/>
        <v>#NAME?</v>
      </c>
      <c r="AN31" t="e">
        <f t="shared" ca="1" si="152"/>
        <v>#NAME?</v>
      </c>
      <c r="AO31" s="89" t="e">
        <f t="shared" ca="1" si="153"/>
        <v>#NAME?</v>
      </c>
      <c r="AP31" s="1"/>
      <c r="AQ31" s="1"/>
      <c r="AZ31" s="1" t="e">
        <f ca="1">IF($C31="","",psi_i(a_iVal3,x_iVal4,$A31,Kij_Val,BIPset,$AC$3,COUNTA(Chem3)))</f>
        <v>#NAME?</v>
      </c>
      <c r="BA31" s="1" t="e">
        <f ca="1">IF($C31="","",psi_i(a_iVal3,y_iValDP,$A31,Kij_Val,BIPset,$AC$3,COUNTA(Chem3)))</f>
        <v>#NAME?</v>
      </c>
      <c r="BB31" s="1" t="e">
        <f ca="1">psiSUM(a_iVal3,y_iValDP,Kij_Val,BIPset,$AE$3,COUNTA(Chem3))</f>
        <v>#NAME?</v>
      </c>
      <c r="BC31" s="1" t="e">
        <f t="shared" ca="1" si="154"/>
        <v>#NAME?</v>
      </c>
      <c r="BD31" s="1" t="e">
        <f t="shared" ca="1" si="155"/>
        <v>#NAME?</v>
      </c>
      <c r="BE31" s="1" t="e">
        <f ca="1">SUM(BD28:BD37)</f>
        <v>#NAME?</v>
      </c>
      <c r="BF31" s="1" t="e">
        <f ca="1">IF($C31="",0,phi_i($AY$28,$AP$28,$AQ$28,O31,$BE$28,AZ31,$BB$28))</f>
        <v>#NAME?</v>
      </c>
      <c r="BG31" s="1" t="e">
        <f ca="1">IF($C31="",0,phi_i($AY$30,$AP$30,$AQ$30,O31,$BE$31,BA31,$BB$31))</f>
        <v>#NAME?</v>
      </c>
      <c r="BH31" s="1" t="e">
        <f t="shared" ca="1" si="156"/>
        <v>#NAME?</v>
      </c>
      <c r="BI31" s="1" t="e">
        <f t="shared" ca="1" si="157"/>
        <v>#NAME?</v>
      </c>
      <c r="BJ31">
        <f t="shared" ca="1" si="158"/>
        <v>0</v>
      </c>
      <c r="BK31" t="str">
        <f ca="1">IF(BK28&gt;0.000000001,"Keep Iterating","Stop Iterating")</f>
        <v>Stop Iterating</v>
      </c>
      <c r="BL31" t="e">
        <f t="shared" ca="1" si="159"/>
        <v>#NAME?</v>
      </c>
      <c r="BN31" t="e">
        <f t="shared" ca="1" si="160"/>
        <v>#NAME?</v>
      </c>
      <c r="BO31" s="89" t="e">
        <f t="shared" ca="1" si="161"/>
        <v>#NAME?</v>
      </c>
      <c r="BP31" s="1"/>
      <c r="BQ31" s="1"/>
      <c r="BZ31" s="1" t="e">
        <f ca="1">IF($C31="","",psi_i(a_iVal3,x_iVal5,$A31,Kij_Val,BIPset,$AC$3,COUNTA(Chem3)))</f>
        <v>#NAME?</v>
      </c>
      <c r="CA31" s="1" t="e">
        <f ca="1">IF($C31="","",psi_i(a_iVal3,y_iValDP,$A31,Kij_Val,BIPset,$AC$3,COUNTA(Chem3)))</f>
        <v>#NAME?</v>
      </c>
      <c r="CB31" s="1" t="e">
        <f ca="1">psiSUM(a_iVal3,y_iValDP,Kij_Val,BIPset,$AE$3,COUNTA(Chem3))</f>
        <v>#NAME?</v>
      </c>
      <c r="CC31" s="1" t="e">
        <f t="shared" ca="1" si="162"/>
        <v>#NAME?</v>
      </c>
      <c r="CD31" s="1" t="e">
        <f t="shared" ca="1" si="163"/>
        <v>#NAME?</v>
      </c>
      <c r="CE31" s="1" t="e">
        <f ca="1">SUM(CD28:CD37)</f>
        <v>#NAME?</v>
      </c>
      <c r="CF31" s="1" t="e">
        <f ca="1">IF($C31="",0,phi_i($BY$28,$BP$28,$BQ$28,O31,$CE$28,BZ31,$CB$28))</f>
        <v>#NAME?</v>
      </c>
      <c r="CG31" s="1" t="e">
        <f ca="1">IF($C31="",0,phi_i($BY$30,$BP$30,$BQ$30,O31,$CE$31,CA31,$CB$31))</f>
        <v>#NAME?</v>
      </c>
      <c r="CH31" s="1" t="e">
        <f t="shared" ca="1" si="164"/>
        <v>#NAME?</v>
      </c>
      <c r="CI31" s="1" t="e">
        <f t="shared" ca="1" si="165"/>
        <v>#NAME?</v>
      </c>
      <c r="CJ31">
        <f t="shared" ca="1" si="166"/>
        <v>0</v>
      </c>
      <c r="CK31" t="str">
        <f ca="1">IF(CK28&gt;0.000000001,"Keep Iterating","Stop Iterating")</f>
        <v>Stop Iterating</v>
      </c>
      <c r="CL31" t="e">
        <f t="shared" ca="1" si="167"/>
        <v>#NAME?</v>
      </c>
      <c r="CN31" t="e">
        <f t="shared" ca="1" si="168"/>
        <v>#NAME?</v>
      </c>
      <c r="CO31" s="89" t="e">
        <f t="shared" ca="1" si="169"/>
        <v>#NAME?</v>
      </c>
      <c r="CP31" s="1"/>
      <c r="CQ31" s="1"/>
      <c r="CZ31" s="1" t="e">
        <f ca="1">IF($C31="","",psi_i(a_iVal3,x_iVal6,$A31,Kij_Val,BIPset,$AC$3,COUNTA(Chem3)))</f>
        <v>#NAME?</v>
      </c>
      <c r="DA31" s="1" t="e">
        <f ca="1">IF($C31="","",psi_i(a_iVal3,y_iValDP,$A31,Kij_Val,BIPset,$AC$3,COUNTA(Chem3)))</f>
        <v>#NAME?</v>
      </c>
      <c r="DB31" s="1" t="e">
        <f ca="1">psiSUM(a_iVal3,y_iValDP,Kij_Val,BIPset,$AE$3,COUNTA(Chem3))</f>
        <v>#NAME?</v>
      </c>
      <c r="DC31" s="1" t="e">
        <f t="shared" ca="1" si="170"/>
        <v>#NAME?</v>
      </c>
      <c r="DD31" s="1" t="e">
        <f t="shared" ca="1" si="171"/>
        <v>#NAME?</v>
      </c>
      <c r="DE31" s="1" t="e">
        <f ca="1">SUM(DD28:DD37)</f>
        <v>#NAME?</v>
      </c>
      <c r="DF31" s="1" t="e">
        <f ca="1">IF($C31="",0,phi_i($CY$28,$CP$28,$CQ$28,O31,$DE$28,CZ31,$DB$28))</f>
        <v>#NAME?</v>
      </c>
      <c r="DG31" s="1" t="e">
        <f ca="1">IF($C31="",0,phi_i($CY$30,$CP$30,$CQ$30,O31,$DE$31,DA31,$DB$31))</f>
        <v>#NAME?</v>
      </c>
      <c r="DH31" s="1" t="e">
        <f t="shared" ca="1" si="172"/>
        <v>#NAME?</v>
      </c>
      <c r="DI31" s="1" t="e">
        <f t="shared" ca="1" si="173"/>
        <v>#NAME?</v>
      </c>
      <c r="DJ31">
        <f t="shared" ca="1" si="174"/>
        <v>0</v>
      </c>
      <c r="DK31" t="str">
        <f ca="1">IF(DK28&gt;0.000000001,"Keep Iterating","Stop Iterating")</f>
        <v>Stop Iterating</v>
      </c>
      <c r="DL31" t="e">
        <f t="shared" ca="1" si="175"/>
        <v>#NAME?</v>
      </c>
      <c r="DN31" t="e">
        <f t="shared" ca="1" si="176"/>
        <v>#NAME?</v>
      </c>
      <c r="DO31" s="89" t="e">
        <f t="shared" ca="1" si="177"/>
        <v>#NAME?</v>
      </c>
      <c r="DP31" s="1"/>
      <c r="DQ31" s="1"/>
      <c r="DZ31" s="1" t="e">
        <f ca="1">IF($C31="","",psi_i(a_iVal3,x_iVal7,$A31,Kij_Val,BIPset,$AC$3,COUNTA(Chem3)))</f>
        <v>#NAME?</v>
      </c>
      <c r="EA31" s="1" t="e">
        <f ca="1">IF($C31="","",psi_i(a_iVal3,y_iValDP,$A31,Kij_Val,BIPset,$AC$3,COUNTA(Chem3)))</f>
        <v>#NAME?</v>
      </c>
      <c r="EB31" s="1" t="e">
        <f ca="1">psiSUM(a_iVal3,y_iValDP,Kij_Val,BIPset,$AE$3,COUNTA(Chem3))</f>
        <v>#NAME?</v>
      </c>
      <c r="EC31" s="1" t="e">
        <f t="shared" ca="1" si="178"/>
        <v>#NAME?</v>
      </c>
      <c r="ED31" s="1" t="e">
        <f t="shared" ca="1" si="179"/>
        <v>#NAME?</v>
      </c>
      <c r="EE31" s="1" t="e">
        <f ca="1">SUM(ED28:ED37)</f>
        <v>#NAME?</v>
      </c>
      <c r="EF31" s="1" t="e">
        <f ca="1">IF($C31="",0,phi_i($DY$28,$DP$28,$DQ$28,O31,$EE$28,DZ31,$EB$28))</f>
        <v>#NAME?</v>
      </c>
      <c r="EG31" s="1" t="e">
        <f ca="1">IF($C31="",0,phi_i($DY$30,$DP$30,$DQ$30,O31,$EE$31,DZ31,$EB$31))</f>
        <v>#NAME?</v>
      </c>
      <c r="EH31" s="1" t="e">
        <f t="shared" ca="1" si="180"/>
        <v>#NAME?</v>
      </c>
      <c r="EI31" s="1" t="e">
        <f t="shared" ca="1" si="181"/>
        <v>#NAME?</v>
      </c>
      <c r="EJ31">
        <f t="shared" ca="1" si="182"/>
        <v>0</v>
      </c>
      <c r="EK31" t="str">
        <f ca="1">IF(EK28&gt;0.000000001,"Keep Iterating","Stop Iterating")</f>
        <v>Stop Iterating</v>
      </c>
      <c r="EL31" t="e">
        <f t="shared" ca="1" si="183"/>
        <v>#NAME?</v>
      </c>
      <c r="EN31" t="e">
        <f t="shared" ca="1" si="184"/>
        <v>#NAME?</v>
      </c>
      <c r="EO31" s="89" t="e">
        <f t="shared" ca="1" si="185"/>
        <v>#NAME?</v>
      </c>
      <c r="EP31" s="1"/>
      <c r="EQ31" s="1"/>
      <c r="EZ31" s="1" t="e">
        <f ca="1">IF($C31="","",psi_i(a_iVal3,x_iVal8,$A31,Kij_Val,BIPset,$AC$3,COUNTA(Chem3)))</f>
        <v>#NAME?</v>
      </c>
      <c r="FA31" s="1" t="e">
        <f ca="1">IF($C31="","",psi_i(a_iVal3,y_iValDP,$A31,Kij_Val,BIPset,$AC$3,COUNTA(Chem3)))</f>
        <v>#NAME?</v>
      </c>
      <c r="FB31" s="1" t="e">
        <f ca="1">psiSUM(a_iVal3,y_iValDP,Kij_Val,BIPset,$AE$3,COUNTA(Chem3))</f>
        <v>#NAME?</v>
      </c>
      <c r="FC31" s="1" t="e">
        <f t="shared" ca="1" si="186"/>
        <v>#NAME?</v>
      </c>
      <c r="FD31" s="1" t="e">
        <f t="shared" ca="1" si="187"/>
        <v>#NAME?</v>
      </c>
      <c r="FE31" s="1" t="e">
        <f ca="1">SUM(FD28:FD37)</f>
        <v>#NAME?</v>
      </c>
      <c r="FF31" s="1" t="e">
        <f ca="1">IF($C31="",0,phi_i($EY$28,$EP$28,$EQ$28,O31,$FE$28,EZ31,$FB$28))</f>
        <v>#NAME?</v>
      </c>
      <c r="FG31" s="1" t="e">
        <f ca="1">IF($C31="",0,phi_i($EY$30,$EP$30,$EQ$30,O31,$FE$31,FA31,$FB$31))</f>
        <v>#NAME?</v>
      </c>
      <c r="FH31" s="1" t="e">
        <f t="shared" ca="1" si="188"/>
        <v>#NAME?</v>
      </c>
      <c r="FI31" s="1" t="e">
        <f t="shared" ca="1" si="189"/>
        <v>#NAME?</v>
      </c>
      <c r="FJ31">
        <f t="shared" ca="1" si="190"/>
        <v>0</v>
      </c>
      <c r="FK31" t="str">
        <f ca="1">IF(FK28&gt;0.000000001,"Keep Iterating","Stop Iterating")</f>
        <v>Stop Iterating</v>
      </c>
      <c r="FL31" t="e">
        <f t="shared" ca="1" si="191"/>
        <v>#NAME?</v>
      </c>
      <c r="FN31" t="e">
        <f t="shared" ca="1" si="192"/>
        <v>#NAME?</v>
      </c>
      <c r="FO31" s="89" t="e">
        <f t="shared" ca="1" si="193"/>
        <v>#NAME?</v>
      </c>
      <c r="FP31" s="1"/>
      <c r="FQ31" s="1"/>
      <c r="FZ31" s="1" t="e">
        <f ca="1">IF($C31="","",psi_i(a_iVal3,x_iVal9,$A31,Kij_Val,BIPset,$AC$3,COUNTA(Chem3)))</f>
        <v>#NAME?</v>
      </c>
      <c r="GA31" s="1" t="e">
        <f ca="1">IF($C31="","",psi_i(a_iVal3,y_iValDP,$A31,Kij_Val,BIPset,$AC$3,COUNTA(Chem3)))</f>
        <v>#NAME?</v>
      </c>
      <c r="GB31" s="1" t="e">
        <f ca="1">psiSUM(a_iVal3,y_iValDP,Kij_Val,BIPset,$AE$3,COUNTA(Chem3))</f>
        <v>#NAME?</v>
      </c>
      <c r="GC31" s="1" t="e">
        <f t="shared" ca="1" si="194"/>
        <v>#NAME?</v>
      </c>
      <c r="GD31" s="1" t="e">
        <f t="shared" ca="1" si="195"/>
        <v>#NAME?</v>
      </c>
      <c r="GE31" s="1" t="e">
        <f ca="1">SUM(GD28:GD37)</f>
        <v>#NAME?</v>
      </c>
      <c r="GF31" s="1" t="e">
        <f ca="1">IF($C31="",0,phi_i($FY$28,$FP$28,$FQ$28,O31,$GE$28,FZ31,$GB$28))</f>
        <v>#NAME?</v>
      </c>
      <c r="GG31" s="1" t="e">
        <f ca="1">IF($C31="",0,phi_i($FY$30,$FP$30,$FQ$30,O31,$GE$31,GA31,$GB$31))</f>
        <v>#NAME?</v>
      </c>
      <c r="GH31" s="1" t="e">
        <f t="shared" ca="1" si="196"/>
        <v>#NAME?</v>
      </c>
      <c r="GI31" s="1" t="e">
        <f t="shared" ca="1" si="197"/>
        <v>#NAME?</v>
      </c>
      <c r="GJ31" t="e">
        <f t="shared" ca="1" si="198"/>
        <v>#NAME?</v>
      </c>
      <c r="GK31" t="e">
        <f ca="1">IF(GK28&gt;0.000000001,"Keep Iterating","Stop Iterating")</f>
        <v>#NAME?</v>
      </c>
      <c r="GL31" t="e">
        <f t="shared" ca="1" si="199"/>
        <v>#NAME?</v>
      </c>
      <c r="GN31" t="e">
        <f t="shared" ca="1" si="200"/>
        <v>#NAME?</v>
      </c>
      <c r="GO31" s="89" t="e">
        <f t="shared" ca="1" si="201"/>
        <v>#NAME?</v>
      </c>
      <c r="GP31" s="1"/>
      <c r="GQ31" s="1"/>
      <c r="GZ31" s="1" t="e">
        <f ca="1">IF($C31="","",psi_i(a_iVal3,x_iVal10,$A31,Kij_Val,BIPset,$AC$3,COUNTA(Chem3)))</f>
        <v>#NAME?</v>
      </c>
      <c r="HA31" s="1" t="e">
        <f ca="1">IF($C31="","",psi_i(a_iVal3,y_iValDP,$A31,Kij_Val,BIPset,$AC$3,COUNTA(Chem3)))</f>
        <v>#NAME?</v>
      </c>
      <c r="HB31" s="1" t="e">
        <f ca="1">psiSUM(a_iVal3,y_iValDP,Kij_Val,BIPset,$AE$3,COUNTA(Chem3))</f>
        <v>#NAME?</v>
      </c>
      <c r="HC31" s="1" t="e">
        <f t="shared" ca="1" si="202"/>
        <v>#NAME?</v>
      </c>
      <c r="HD31" s="1" t="e">
        <f t="shared" ca="1" si="203"/>
        <v>#NAME?</v>
      </c>
      <c r="HE31" s="1" t="e">
        <f ca="1">SUM(HD28:HD37)</f>
        <v>#NAME?</v>
      </c>
      <c r="HF31" s="1" t="e">
        <f ca="1">IF($C31="",0,phi_i($GY$28,$GP$28,$GQ$28,O31,$HE$28,GZ31,$HB$28))</f>
        <v>#NAME?</v>
      </c>
      <c r="HG31" s="1" t="e">
        <f ca="1">IF($C31="",0,phi_i($GY$30,$GP$30,$GQ$30,O31,$HE$31,HA31,$HB$31))</f>
        <v>#NAME?</v>
      </c>
      <c r="HH31" s="1" t="e">
        <f t="shared" ca="1" si="204"/>
        <v>#NAME?</v>
      </c>
      <c r="HI31" s="1" t="e">
        <f t="shared" ca="1" si="205"/>
        <v>#NAME?</v>
      </c>
      <c r="HJ31" t="e">
        <f t="shared" ca="1" si="206"/>
        <v>#NAME?</v>
      </c>
      <c r="HK31" t="e">
        <f ca="1">IF(HK28&gt;0.000000001,"Keep Iterating","Stop Iterating")</f>
        <v>#NAME?</v>
      </c>
      <c r="HL31" t="e">
        <f t="shared" ca="1" si="207"/>
        <v>#NAME?</v>
      </c>
      <c r="HN31" t="e">
        <f t="shared" ca="1" si="208"/>
        <v>#NAME?</v>
      </c>
      <c r="HO31" s="89" t="e">
        <f t="shared" ca="1" si="209"/>
        <v>#NAME?</v>
      </c>
      <c r="HP31" s="1"/>
      <c r="HQ31" s="1"/>
      <c r="HZ31" s="1" t="e">
        <f ca="1">IF($C31="","",psi_i(a_iVal3,x_iVal10,$A31,Kij_Val,BIPset,$AC$3,COUNTA(Chem3)))</f>
        <v>#NAME?</v>
      </c>
      <c r="IA31" s="1" t="e">
        <f ca="1">IF($C31="","",psi_i(a_iVal3,y_iValDP,$A31,Kij_Val,BIPset,$AC$3,COUNTA(Chem3)))</f>
        <v>#NAME?</v>
      </c>
      <c r="IB31" s="1" t="e">
        <f ca="1">psiSUM(a_iVal3,y_iValDP,Kij_Val,BIPset,$AE$3,COUNTA(Chem3))</f>
        <v>#NAME?</v>
      </c>
      <c r="IC31" s="1" t="e">
        <f t="shared" ca="1" si="210"/>
        <v>#NAME?</v>
      </c>
      <c r="ID31" s="1" t="e">
        <f t="shared" ca="1" si="211"/>
        <v>#NAME?</v>
      </c>
      <c r="IE31" s="1" t="e">
        <f ca="1">SUM(ID28:ID37)</f>
        <v>#NAME?</v>
      </c>
      <c r="IF31" s="1" t="e">
        <f ca="1">IF($C31="",0,phi_i($GY$28,$GP$28,$GQ$28,AO31,$HE$28,HZ31,$HB$28))</f>
        <v>#NAME?</v>
      </c>
      <c r="IG31" s="1" t="e">
        <f ca="1">IF($C31="",0,phi_i($GY$30,$GP$30,$GQ$30,AO31,$HE$31,IA31,$HB$31))</f>
        <v>#NAME?</v>
      </c>
      <c r="IH31" s="1" t="e">
        <f t="shared" ca="1" si="212"/>
        <v>#NAME?</v>
      </c>
      <c r="II31" s="1" t="e">
        <f t="shared" ca="1" si="213"/>
        <v>#NAME?</v>
      </c>
      <c r="IJ31" t="e">
        <f t="shared" ca="1" si="214"/>
        <v>#NAME?</v>
      </c>
      <c r="IK31" t="e">
        <f ca="1">IF(IK28&gt;0.000000001,"Keep Iterating","Stop Iterating")</f>
        <v>#NAME?</v>
      </c>
      <c r="IL31" t="e">
        <f t="shared" ca="1" si="215"/>
        <v>#NAME?</v>
      </c>
      <c r="IN31" t="e">
        <f t="shared" ca="1" si="216"/>
        <v>#NAME?</v>
      </c>
      <c r="IO31" s="89" t="e">
        <f t="shared" ca="1" si="217"/>
        <v>#NAME?</v>
      </c>
    </row>
    <row r="32" spans="1:249">
      <c r="A32">
        <f t="shared" si="218"/>
        <v>5</v>
      </c>
      <c r="B32" s="18" t="str">
        <f>'Wilson BPDP'!B11</f>
        <v>MF Water</v>
      </c>
      <c r="C32" s="18">
        <v>0.2</v>
      </c>
      <c r="D32" s="18" t="str">
        <f>'Wilson BPDP'!D11</f>
        <v>-</v>
      </c>
      <c r="E32" s="119">
        <f>Wilson!E11</f>
        <v>647.13</v>
      </c>
      <c r="F32" s="119">
        <f>Wilson!F11</f>
        <v>21940</v>
      </c>
      <c r="G32" s="119">
        <f>Wilson!G11</f>
        <v>0.22800000000000001</v>
      </c>
      <c r="H32" s="119">
        <f>Wilson!H11</f>
        <v>0.34300000000000003</v>
      </c>
      <c r="I32" s="119">
        <f t="shared" si="143"/>
        <v>0.46358536924574661</v>
      </c>
      <c r="J32" s="119">
        <f t="shared" si="144"/>
        <v>0.2</v>
      </c>
      <c r="L32" t="e">
        <f ca="1">'Wilson BPDP'!X11</f>
        <v>#NAME?</v>
      </c>
      <c r="M32" t="e">
        <f t="shared" ca="1" si="145"/>
        <v>#NAME?</v>
      </c>
      <c r="N32" t="e">
        <f ca="1">a_i($E32,$F32)*alpha($H32,$I32)</f>
        <v>#NAME?</v>
      </c>
      <c r="O32" t="e">
        <f t="shared" ca="1" si="142"/>
        <v>#NAME?</v>
      </c>
      <c r="P32" s="1"/>
      <c r="Q32" s="1"/>
      <c r="Z32" s="1" t="e">
        <f ca="1">IF($C32="","",psi_i(a_iVal3,x_iVal3,$A32,Kij_Val,BIPset,$AC$3,COUNTA(Chem3)))</f>
        <v>#NAME?</v>
      </c>
      <c r="AA32" s="1" t="e">
        <f ca="1">IF($C32="","",psi_i(a_iVal3,y_iValDP,$A32,Kij_Val,BIPset,$AC$3,COUNTA(Chem3)))</f>
        <v>#NAME?</v>
      </c>
      <c r="AB32" s="1"/>
      <c r="AC32" s="1" t="e">
        <f t="shared" ca="1" si="146"/>
        <v>#NAME?</v>
      </c>
      <c r="AD32" s="1" t="e">
        <f t="shared" ca="1" si="147"/>
        <v>#NAME?</v>
      </c>
      <c r="AE32" s="1"/>
      <c r="AF32" s="1" t="e">
        <f ca="1">IF($C32="",0,phi_i($Y$28,$P$28,$Q$28,O32,$AE$28,Z32,$AB$28))</f>
        <v>#NAME?</v>
      </c>
      <c r="AG32" s="1" t="e">
        <f ca="1">IF($C32="",0,phi_i($Y$30,$P$30,$Q$30,O32,$AE$31,AA32,$AB$31))</f>
        <v>#NAME?</v>
      </c>
      <c r="AH32" s="1" t="e">
        <f t="shared" ca="1" si="148"/>
        <v>#NAME?</v>
      </c>
      <c r="AI32" s="1" t="e">
        <f t="shared" ca="1" si="149"/>
        <v>#NAME?</v>
      </c>
      <c r="AJ32">
        <f t="shared" ca="1" si="150"/>
        <v>0</v>
      </c>
      <c r="AL32" t="e">
        <f t="shared" ca="1" si="151"/>
        <v>#NAME?</v>
      </c>
      <c r="AN32" t="e">
        <f t="shared" ca="1" si="152"/>
        <v>#NAME?</v>
      </c>
      <c r="AO32" s="89" t="e">
        <f t="shared" ca="1" si="153"/>
        <v>#NAME?</v>
      </c>
      <c r="AP32" s="1"/>
      <c r="AQ32" s="1"/>
      <c r="AZ32" s="1" t="e">
        <f ca="1">IF($C32="","",psi_i(a_iVal3,x_iVal4,$A32,Kij_Val,BIPset,$AC$3,COUNTA(Chem3)))</f>
        <v>#NAME?</v>
      </c>
      <c r="BA32" s="1" t="e">
        <f ca="1">IF($C32="","",psi_i(a_iVal3,y_iValDP,$A32,Kij_Val,BIPset,$AC$3,COUNTA(Chem3)))</f>
        <v>#NAME?</v>
      </c>
      <c r="BB32" s="1"/>
      <c r="BC32" s="1" t="e">
        <f t="shared" ca="1" si="154"/>
        <v>#NAME?</v>
      </c>
      <c r="BD32" s="1" t="e">
        <f t="shared" ca="1" si="155"/>
        <v>#NAME?</v>
      </c>
      <c r="BE32" s="1"/>
      <c r="BF32" s="1" t="e">
        <f ca="1">IF($C32="",0,phi_i($AY$28,$AP$28,$AQ$28,O32,$BE$28,AZ32,$BB$28))</f>
        <v>#NAME?</v>
      </c>
      <c r="BG32" s="1" t="e">
        <f ca="1">IF($C32="",0,phi_i($AY$30,$AP$30,$AQ$30,O32,$BE$31,BA32,$BB$31))</f>
        <v>#NAME?</v>
      </c>
      <c r="BH32" s="1" t="e">
        <f t="shared" ca="1" si="156"/>
        <v>#NAME?</v>
      </c>
      <c r="BI32" s="1" t="e">
        <f t="shared" ca="1" si="157"/>
        <v>#NAME?</v>
      </c>
      <c r="BJ32">
        <f t="shared" ca="1" si="158"/>
        <v>0</v>
      </c>
      <c r="BL32" t="e">
        <f t="shared" ca="1" si="159"/>
        <v>#NAME?</v>
      </c>
      <c r="BN32" t="e">
        <f t="shared" ca="1" si="160"/>
        <v>#NAME?</v>
      </c>
      <c r="BO32" s="89" t="e">
        <f t="shared" ca="1" si="161"/>
        <v>#NAME?</v>
      </c>
      <c r="BP32" s="1"/>
      <c r="BQ32" s="1"/>
      <c r="BZ32" s="1" t="e">
        <f ca="1">IF($C32="","",psi_i(a_iVal3,x_iVal5,$A32,Kij_Val,BIPset,$AC$3,COUNTA(Chem3)))</f>
        <v>#NAME?</v>
      </c>
      <c r="CA32" s="1" t="e">
        <f ca="1">IF($C32="","",psi_i(a_iVal3,y_iValDP,$A32,Kij_Val,BIPset,$AC$3,COUNTA(Chem3)))</f>
        <v>#NAME?</v>
      </c>
      <c r="CB32" s="1"/>
      <c r="CC32" s="1" t="e">
        <f t="shared" ca="1" si="162"/>
        <v>#NAME?</v>
      </c>
      <c r="CD32" s="1" t="e">
        <f t="shared" ca="1" si="163"/>
        <v>#NAME?</v>
      </c>
      <c r="CE32" s="1"/>
      <c r="CF32" s="1" t="e">
        <f ca="1">IF($C32="",0,phi_i($BY$28,$BP$28,$BQ$28,O32,$CE$28,BZ32,$CB$28))</f>
        <v>#NAME?</v>
      </c>
      <c r="CG32" s="1" t="e">
        <f ca="1">IF($C32="",0,phi_i($BY$30,$BP$30,$BQ$30,O32,$CE$31,CA32,$CB$31))</f>
        <v>#NAME?</v>
      </c>
      <c r="CH32" s="1" t="e">
        <f t="shared" ca="1" si="164"/>
        <v>#NAME?</v>
      </c>
      <c r="CI32" s="1" t="e">
        <f t="shared" ca="1" si="165"/>
        <v>#NAME?</v>
      </c>
      <c r="CJ32">
        <f t="shared" ca="1" si="166"/>
        <v>0</v>
      </c>
      <c r="CL32" t="e">
        <f t="shared" ca="1" si="167"/>
        <v>#NAME?</v>
      </c>
      <c r="CN32" t="e">
        <f t="shared" ca="1" si="168"/>
        <v>#NAME?</v>
      </c>
      <c r="CO32" s="89" t="e">
        <f t="shared" ca="1" si="169"/>
        <v>#NAME?</v>
      </c>
      <c r="CP32" s="1"/>
      <c r="CQ32" s="1"/>
      <c r="CZ32" s="1" t="e">
        <f ca="1">IF($C32="","",psi_i(a_iVal3,x_iVal6,$A32,Kij_Val,BIPset,$AC$3,COUNTA(Chem3)))</f>
        <v>#NAME?</v>
      </c>
      <c r="DA32" s="1" t="e">
        <f ca="1">IF($C32="","",psi_i(a_iVal3,y_iValDP,$A32,Kij_Val,BIPset,$AC$3,COUNTA(Chem3)))</f>
        <v>#NAME?</v>
      </c>
      <c r="DB32" s="1"/>
      <c r="DC32" s="1" t="e">
        <f t="shared" ca="1" si="170"/>
        <v>#NAME?</v>
      </c>
      <c r="DD32" s="1" t="e">
        <f t="shared" ca="1" si="171"/>
        <v>#NAME?</v>
      </c>
      <c r="DE32" s="1"/>
      <c r="DF32" s="1" t="e">
        <f ca="1">IF($C32="",0,phi_i($CY$28,$CP$28,$CQ$28,O32,$DE$28,CZ32,$DB$28))</f>
        <v>#NAME?</v>
      </c>
      <c r="DG32" s="1" t="e">
        <f ca="1">IF($C32="",0,phi_i($CY$30,$CP$30,$CQ$30,O32,$DE$31,DA32,$DB$31))</f>
        <v>#NAME?</v>
      </c>
      <c r="DH32" s="1" t="e">
        <f t="shared" ca="1" si="172"/>
        <v>#NAME?</v>
      </c>
      <c r="DI32" s="1" t="e">
        <f t="shared" ca="1" si="173"/>
        <v>#NAME?</v>
      </c>
      <c r="DJ32">
        <f t="shared" ca="1" si="174"/>
        <v>0</v>
      </c>
      <c r="DL32" t="e">
        <f t="shared" ca="1" si="175"/>
        <v>#NAME?</v>
      </c>
      <c r="DN32" t="e">
        <f t="shared" ca="1" si="176"/>
        <v>#NAME?</v>
      </c>
      <c r="DO32" s="89" t="e">
        <f t="shared" ca="1" si="177"/>
        <v>#NAME?</v>
      </c>
      <c r="DP32" s="1"/>
      <c r="DQ32" s="1"/>
      <c r="DZ32" s="1" t="e">
        <f ca="1">IF($C32="","",psi_i(a_iVal3,x_iVal7,$A32,Kij_Val,BIPset,$AC$3,COUNTA(Chem3)))</f>
        <v>#NAME?</v>
      </c>
      <c r="EA32" s="1" t="e">
        <f ca="1">IF($C32="","",psi_i(a_iVal3,y_iValDP,$A32,Kij_Val,BIPset,$AC$3,COUNTA(Chem3)))</f>
        <v>#NAME?</v>
      </c>
      <c r="EB32" s="1"/>
      <c r="EC32" s="1" t="e">
        <f t="shared" ca="1" si="178"/>
        <v>#NAME?</v>
      </c>
      <c r="ED32" s="1" t="e">
        <f t="shared" ca="1" si="179"/>
        <v>#NAME?</v>
      </c>
      <c r="EE32" s="1"/>
      <c r="EF32" s="1" t="e">
        <f ca="1">IF($C32="",0,phi_i($DY$28,$DP$28,$DQ$28,O32,$EE$28,DZ32,$EB$28))</f>
        <v>#NAME?</v>
      </c>
      <c r="EG32" s="1" t="e">
        <f ca="1">IF($C32="",0,phi_i($DY$30,$DP$30,$DQ$30,O32,$EE$31,DZ32,$EB$31))</f>
        <v>#NAME?</v>
      </c>
      <c r="EH32" s="1" t="e">
        <f t="shared" ca="1" si="180"/>
        <v>#NAME?</v>
      </c>
      <c r="EI32" s="1" t="e">
        <f t="shared" ca="1" si="181"/>
        <v>#NAME?</v>
      </c>
      <c r="EJ32">
        <f t="shared" ca="1" si="182"/>
        <v>0</v>
      </c>
      <c r="EL32" t="e">
        <f t="shared" ca="1" si="183"/>
        <v>#NAME?</v>
      </c>
      <c r="EN32" t="e">
        <f t="shared" ca="1" si="184"/>
        <v>#NAME?</v>
      </c>
      <c r="EO32" s="89" t="e">
        <f t="shared" ca="1" si="185"/>
        <v>#NAME?</v>
      </c>
      <c r="EP32" s="1"/>
      <c r="EQ32" s="1"/>
      <c r="EZ32" s="1" t="e">
        <f ca="1">IF($C32="","",psi_i(a_iVal3,x_iVal8,$A32,Kij_Val,BIPset,$AC$3,COUNTA(Chem3)))</f>
        <v>#NAME?</v>
      </c>
      <c r="FA32" s="1" t="e">
        <f ca="1">IF($C32="","",psi_i(a_iVal3,y_iValDP,$A32,Kij_Val,BIPset,$AC$3,COUNTA(Chem3)))</f>
        <v>#NAME?</v>
      </c>
      <c r="FB32" s="1"/>
      <c r="FC32" s="1" t="e">
        <f t="shared" ca="1" si="186"/>
        <v>#NAME?</v>
      </c>
      <c r="FD32" s="1" t="e">
        <f t="shared" ca="1" si="187"/>
        <v>#NAME?</v>
      </c>
      <c r="FE32" s="1"/>
      <c r="FF32" s="1" t="e">
        <f ca="1">IF($C32="",0,phi_i($EY$28,$EP$28,$EQ$28,O32,$FE$28,EZ32,$FB$28))</f>
        <v>#NAME?</v>
      </c>
      <c r="FG32" s="1" t="e">
        <f ca="1">IF($C32="",0,phi_i($EY$30,$EP$30,$EQ$30,O32,$FE$31,FA32,$FB$31))</f>
        <v>#NAME?</v>
      </c>
      <c r="FH32" s="1" t="e">
        <f t="shared" ca="1" si="188"/>
        <v>#NAME?</v>
      </c>
      <c r="FI32" s="1" t="e">
        <f t="shared" ca="1" si="189"/>
        <v>#NAME?</v>
      </c>
      <c r="FJ32">
        <f t="shared" ca="1" si="190"/>
        <v>0</v>
      </c>
      <c r="FL32" t="e">
        <f t="shared" ca="1" si="191"/>
        <v>#NAME?</v>
      </c>
      <c r="FN32" t="e">
        <f t="shared" ca="1" si="192"/>
        <v>#NAME?</v>
      </c>
      <c r="FO32" s="89" t="e">
        <f t="shared" ca="1" si="193"/>
        <v>#NAME?</v>
      </c>
      <c r="FP32" s="1"/>
      <c r="FQ32" s="1"/>
      <c r="FZ32" s="1" t="e">
        <f ca="1">IF($C32="","",psi_i(a_iVal3,x_iVal9,$A32,Kij_Val,BIPset,$AC$3,COUNTA(Chem3)))</f>
        <v>#NAME?</v>
      </c>
      <c r="GA32" s="1" t="e">
        <f ca="1">IF($C32="","",psi_i(a_iVal3,y_iValDP,$A32,Kij_Val,BIPset,$AC$3,COUNTA(Chem3)))</f>
        <v>#NAME?</v>
      </c>
      <c r="GB32" s="1"/>
      <c r="GC32" s="1" t="e">
        <f t="shared" ca="1" si="194"/>
        <v>#NAME?</v>
      </c>
      <c r="GD32" s="1" t="e">
        <f t="shared" ca="1" si="195"/>
        <v>#NAME?</v>
      </c>
      <c r="GE32" s="1"/>
      <c r="GF32" s="1" t="e">
        <f ca="1">IF($C32="",0,phi_i($FY$28,$FP$28,$FQ$28,O32,$GE$28,FZ32,$GB$28))</f>
        <v>#NAME?</v>
      </c>
      <c r="GG32" s="1" t="e">
        <f ca="1">IF($C32="",0,phi_i($FY$30,$FP$30,$FQ$30,O32,$GE$31,GA32,$GB$31))</f>
        <v>#NAME?</v>
      </c>
      <c r="GH32" s="1" t="e">
        <f t="shared" ca="1" si="196"/>
        <v>#NAME?</v>
      </c>
      <c r="GI32" s="1" t="e">
        <f t="shared" ca="1" si="197"/>
        <v>#NAME?</v>
      </c>
      <c r="GJ32" t="e">
        <f t="shared" ca="1" si="198"/>
        <v>#NAME?</v>
      </c>
      <c r="GL32" t="e">
        <f t="shared" ca="1" si="199"/>
        <v>#NAME?</v>
      </c>
      <c r="GN32" t="e">
        <f t="shared" ca="1" si="200"/>
        <v>#NAME?</v>
      </c>
      <c r="GO32" s="89" t="e">
        <f t="shared" ca="1" si="201"/>
        <v>#NAME?</v>
      </c>
      <c r="GP32" s="1"/>
      <c r="GQ32" s="1"/>
      <c r="GZ32" s="1" t="e">
        <f ca="1">IF($C32="","",psi_i(a_iVal3,x_iVal10,$A32,Kij_Val,BIPset,$AC$3,COUNTA(Chem3)))</f>
        <v>#NAME?</v>
      </c>
      <c r="HA32" s="1" t="e">
        <f ca="1">IF($C32="","",psi_i(a_iVal3,y_iValDP,$A32,Kij_Val,BIPset,$AC$3,COUNTA(Chem3)))</f>
        <v>#NAME?</v>
      </c>
      <c r="HB32" s="1"/>
      <c r="HC32" s="1" t="e">
        <f t="shared" ca="1" si="202"/>
        <v>#NAME?</v>
      </c>
      <c r="HD32" s="1" t="e">
        <f t="shared" ca="1" si="203"/>
        <v>#NAME?</v>
      </c>
      <c r="HE32" s="1"/>
      <c r="HF32" s="1" t="e">
        <f ca="1">IF($C32="",0,phi_i($GY$28,$GP$28,$GQ$28,O32,$HE$28,GZ32,$HB$28))</f>
        <v>#NAME?</v>
      </c>
      <c r="HG32" s="1" t="e">
        <f ca="1">IF($C32="",0,phi_i($GY$30,$GP$30,$GQ$30,O32,$HE$31,HA32,$HB$31))</f>
        <v>#NAME?</v>
      </c>
      <c r="HH32" s="1" t="e">
        <f t="shared" ca="1" si="204"/>
        <v>#NAME?</v>
      </c>
      <c r="HI32" s="1" t="e">
        <f t="shared" ca="1" si="205"/>
        <v>#NAME?</v>
      </c>
      <c r="HJ32" t="e">
        <f t="shared" ca="1" si="206"/>
        <v>#NAME?</v>
      </c>
      <c r="HL32" t="e">
        <f t="shared" ca="1" si="207"/>
        <v>#NAME?</v>
      </c>
      <c r="HN32" t="e">
        <f t="shared" ca="1" si="208"/>
        <v>#NAME?</v>
      </c>
      <c r="HO32" s="89" t="e">
        <f t="shared" ca="1" si="209"/>
        <v>#NAME?</v>
      </c>
      <c r="HP32" s="1"/>
      <c r="HQ32" s="1"/>
      <c r="HZ32" s="1" t="e">
        <f ca="1">IF($C32="","",psi_i(a_iVal3,x_iVal10,$A32,Kij_Val,BIPset,$AC$3,COUNTA(Chem3)))</f>
        <v>#NAME?</v>
      </c>
      <c r="IA32" s="1" t="e">
        <f ca="1">IF($C32="","",psi_i(a_iVal3,y_iValDP,$A32,Kij_Val,BIPset,$AC$3,COUNTA(Chem3)))</f>
        <v>#NAME?</v>
      </c>
      <c r="IB32" s="1"/>
      <c r="IC32" s="1" t="e">
        <f t="shared" ca="1" si="210"/>
        <v>#NAME?</v>
      </c>
      <c r="ID32" s="1" t="e">
        <f t="shared" ca="1" si="211"/>
        <v>#NAME?</v>
      </c>
      <c r="IE32" s="1"/>
      <c r="IF32" s="1" t="e">
        <f ca="1">IF($C32="",0,phi_i($GY$28,$GP$28,$GQ$28,AO32,$HE$28,HZ32,$HB$28))</f>
        <v>#NAME?</v>
      </c>
      <c r="IG32" s="1" t="e">
        <f ca="1">IF($C32="",0,phi_i($GY$30,$GP$30,$GQ$30,AO32,$HE$31,IA32,$HB$31))</f>
        <v>#NAME?</v>
      </c>
      <c r="IH32" s="1" t="e">
        <f t="shared" ca="1" si="212"/>
        <v>#NAME?</v>
      </c>
      <c r="II32" s="1" t="e">
        <f t="shared" ca="1" si="213"/>
        <v>#NAME?</v>
      </c>
      <c r="IJ32" t="e">
        <f t="shared" ca="1" si="214"/>
        <v>#NAME?</v>
      </c>
      <c r="IL32" t="e">
        <f t="shared" ca="1" si="215"/>
        <v>#NAME?</v>
      </c>
      <c r="IN32" t="e">
        <f t="shared" ca="1" si="216"/>
        <v>#NAME?</v>
      </c>
      <c r="IO32" s="89" t="e">
        <f t="shared" ca="1" si="217"/>
        <v>#NAME?</v>
      </c>
    </row>
    <row r="33" spans="1:249">
      <c r="A33">
        <f t="shared" si="218"/>
        <v>6</v>
      </c>
      <c r="B33" s="18" t="str">
        <f>'Wilson BPDP'!B12</f>
        <v>MF Nitrogen (NC)</v>
      </c>
      <c r="C33" s="18">
        <v>0</v>
      </c>
      <c r="D33" s="18" t="str">
        <f>'Wilson BPDP'!D12</f>
        <v>-</v>
      </c>
      <c r="E33" s="119">
        <f>Wilson!E12</f>
        <v>126.2</v>
      </c>
      <c r="F33" s="119">
        <f>Wilson!F12</f>
        <v>3390</v>
      </c>
      <c r="G33" s="119">
        <f>Wilson!G12</f>
        <v>0.28799999999999998</v>
      </c>
      <c r="H33" s="119">
        <f>Wilson!H12</f>
        <v>3.6999999999999998E-2</v>
      </c>
      <c r="I33" s="119">
        <f t="shared" si="143"/>
        <v>2.3771790808240887</v>
      </c>
      <c r="J33" s="119">
        <f t="shared" si="144"/>
        <v>0</v>
      </c>
      <c r="L33" t="e">
        <f ca="1">'Wilson BPDP'!X12</f>
        <v>#NAME?</v>
      </c>
      <c r="M33" t="e">
        <f t="shared" ca="1" si="145"/>
        <v>#NAME?</v>
      </c>
      <c r="N33" t="e">
        <f ca="1">a_i($E33,$F33)*alpha($H33,$I33)</f>
        <v>#NAME?</v>
      </c>
      <c r="O33" t="e">
        <f t="shared" ca="1" si="142"/>
        <v>#NAME?</v>
      </c>
      <c r="P33" s="1"/>
      <c r="Q33" s="1"/>
      <c r="Z33" s="1" t="e">
        <f ca="1">IF($C33="","",psi_i(a_iVal3,x_iVal3,$A33,Kij_Val,BIPset,$AC$3,COUNTA(Chem3)))</f>
        <v>#NAME?</v>
      </c>
      <c r="AA33" s="1" t="e">
        <f ca="1">IF($C33="","",psi_i(a_iVal3,y_iValDP,$A33,Kij_Val,BIPset,$AC$3,COUNTA(Chem3)))</f>
        <v>#NAME?</v>
      </c>
      <c r="AB33" s="1"/>
      <c r="AC33" s="1" t="e">
        <f t="shared" ca="1" si="146"/>
        <v>#NAME?</v>
      </c>
      <c r="AD33" s="1" t="e">
        <f t="shared" ca="1" si="147"/>
        <v>#NAME?</v>
      </c>
      <c r="AE33" s="1"/>
      <c r="AF33" s="1" t="e">
        <f ca="1">IF($C33="",0,phi_i($Y$28,$P$28,$Q$28,O33,$AE$28,Z33,$AB$28))</f>
        <v>#NAME?</v>
      </c>
      <c r="AG33" s="1" t="e">
        <f ca="1">IF($C33="",0,phi_i($Y$30,$P$30,$Q$30,O33,$AE$31,AA33,$AB$31))</f>
        <v>#NAME?</v>
      </c>
      <c r="AH33" s="1" t="e">
        <f t="shared" ca="1" si="148"/>
        <v>#NAME?</v>
      </c>
      <c r="AI33" s="1" t="e">
        <f t="shared" ca="1" si="149"/>
        <v>#NAME?</v>
      </c>
      <c r="AJ33">
        <f t="shared" ca="1" si="150"/>
        <v>0</v>
      </c>
      <c r="AL33" t="e">
        <f t="shared" ca="1" si="151"/>
        <v>#NAME?</v>
      </c>
      <c r="AN33" t="e">
        <f t="shared" ca="1" si="152"/>
        <v>#NAME?</v>
      </c>
      <c r="AO33" s="89" t="e">
        <f t="shared" ca="1" si="153"/>
        <v>#NAME?</v>
      </c>
      <c r="AP33" s="1"/>
      <c r="AQ33" s="1"/>
      <c r="AZ33" s="1" t="e">
        <f ca="1">IF($C33="","",psi_i(a_iVal3,x_iVal4,$A33,Kij_Val,BIPset,$AC$3,COUNTA(Chem3)))</f>
        <v>#NAME?</v>
      </c>
      <c r="BA33" s="1" t="e">
        <f ca="1">IF($C33="","",psi_i(a_iVal3,y_iValDP,$A33,Kij_Val,BIPset,$AC$3,COUNTA(Chem3)))</f>
        <v>#NAME?</v>
      </c>
      <c r="BB33" s="1"/>
      <c r="BC33" s="1" t="e">
        <f t="shared" ca="1" si="154"/>
        <v>#NAME?</v>
      </c>
      <c r="BD33" s="1" t="e">
        <f t="shared" ca="1" si="155"/>
        <v>#NAME?</v>
      </c>
      <c r="BE33" s="1"/>
      <c r="BF33" s="1" t="e">
        <f ca="1">IF($C33="",0,phi_i($AY$28,$AP$28,$AQ$28,O33,$BE$28,AZ33,$BB$28))</f>
        <v>#NAME?</v>
      </c>
      <c r="BG33" s="1" t="e">
        <f ca="1">IF($C33="",0,phi_i($AY$30,$AP$30,$AQ$30,O33,$BE$31,BA33,$BB$31))</f>
        <v>#NAME?</v>
      </c>
      <c r="BH33" s="1" t="e">
        <f t="shared" ca="1" si="156"/>
        <v>#NAME?</v>
      </c>
      <c r="BI33" s="1" t="e">
        <f t="shared" ca="1" si="157"/>
        <v>#NAME?</v>
      </c>
      <c r="BJ33">
        <f t="shared" ca="1" si="158"/>
        <v>0</v>
      </c>
      <c r="BL33" t="e">
        <f t="shared" ca="1" si="159"/>
        <v>#NAME?</v>
      </c>
      <c r="BN33" t="e">
        <f t="shared" ca="1" si="160"/>
        <v>#NAME?</v>
      </c>
      <c r="BO33" s="89" t="e">
        <f t="shared" ca="1" si="161"/>
        <v>#NAME?</v>
      </c>
      <c r="BP33" s="1"/>
      <c r="BQ33" s="1"/>
      <c r="BZ33" s="1" t="e">
        <f ca="1">IF($C33="","",psi_i(a_iVal3,x_iVal5,$A33,Kij_Val,BIPset,$AC$3,COUNTA(Chem3)))</f>
        <v>#NAME?</v>
      </c>
      <c r="CA33" s="1" t="e">
        <f ca="1">IF($C33="","",psi_i(a_iVal3,y_iValDP,$A33,Kij_Val,BIPset,$AC$3,COUNTA(Chem3)))</f>
        <v>#NAME?</v>
      </c>
      <c r="CB33" s="1"/>
      <c r="CC33" s="1" t="e">
        <f t="shared" ca="1" si="162"/>
        <v>#NAME?</v>
      </c>
      <c r="CD33" s="1" t="e">
        <f t="shared" ca="1" si="163"/>
        <v>#NAME?</v>
      </c>
      <c r="CE33" s="1"/>
      <c r="CF33" s="1" t="e">
        <f ca="1">IF($C33="",0,phi_i($BY$28,$BP$28,$BQ$28,O33,$CE$28,BZ33,$CB$28))</f>
        <v>#NAME?</v>
      </c>
      <c r="CG33" s="1" t="e">
        <f ca="1">IF($C33="",0,phi_i($BY$30,$BP$30,$BQ$30,O33,$CE$31,CA33,$CB$31))</f>
        <v>#NAME?</v>
      </c>
      <c r="CH33" s="1" t="e">
        <f t="shared" ca="1" si="164"/>
        <v>#NAME?</v>
      </c>
      <c r="CI33" s="1" t="e">
        <f t="shared" ca="1" si="165"/>
        <v>#NAME?</v>
      </c>
      <c r="CJ33">
        <f t="shared" ca="1" si="166"/>
        <v>0</v>
      </c>
      <c r="CL33" t="e">
        <f t="shared" ca="1" si="167"/>
        <v>#NAME?</v>
      </c>
      <c r="CN33" t="e">
        <f t="shared" ca="1" si="168"/>
        <v>#NAME?</v>
      </c>
      <c r="CO33" s="89"/>
      <c r="CP33" s="1"/>
      <c r="CQ33" s="1"/>
      <c r="CZ33" s="1" t="e">
        <f ca="1">IF($C33="","",psi_i(a_iVal3,x_iVal6,$A33,Kij_Val,BIPset,$AC$3,COUNTA(Chem3)))</f>
        <v>#NAME?</v>
      </c>
      <c r="DA33" s="1" t="e">
        <f ca="1">IF($C33="","",psi_i(a_iVal3,y_iValDP,$A33,Kij_Val,BIPset,$AC$3,COUNTA(Chem3)))</f>
        <v>#NAME?</v>
      </c>
      <c r="DB33" s="1"/>
      <c r="DC33" s="1" t="e">
        <f t="shared" ca="1" si="170"/>
        <v>#NAME?</v>
      </c>
      <c r="DD33" s="1" t="e">
        <f t="shared" ca="1" si="171"/>
        <v>#NAME?</v>
      </c>
      <c r="DE33" s="1"/>
      <c r="DF33" s="1" t="e">
        <f ca="1">IF($C33="",0,phi_i($CY$28,$CP$28,$CQ$28,O33,$DE$28,CZ33,$DB$28))</f>
        <v>#NAME?</v>
      </c>
      <c r="DG33" s="1" t="e">
        <f ca="1">IF($C33="",0,phi_i($CY$30,$CP$30,$CQ$30,O33,$DE$31,DA33,$DB$31))</f>
        <v>#NAME?</v>
      </c>
      <c r="DH33" s="1" t="e">
        <f t="shared" ca="1" si="172"/>
        <v>#NAME?</v>
      </c>
      <c r="DI33" s="1" t="e">
        <f t="shared" ca="1" si="173"/>
        <v>#NAME?</v>
      </c>
      <c r="DJ33">
        <f t="shared" ca="1" si="174"/>
        <v>0</v>
      </c>
      <c r="DL33" t="e">
        <f t="shared" ca="1" si="175"/>
        <v>#NAME?</v>
      </c>
      <c r="DN33" t="e">
        <f t="shared" ca="1" si="176"/>
        <v>#NAME?</v>
      </c>
      <c r="DO33" s="89" t="e">
        <f t="shared" ca="1" si="177"/>
        <v>#NAME?</v>
      </c>
      <c r="DP33" s="1"/>
      <c r="DQ33" s="1"/>
      <c r="DZ33" s="1" t="e">
        <f ca="1">IF($C33="","",psi_i(a_iVal3,x_iVal7,$A33,Kij_Val,BIPset,$AC$3,COUNTA(Chem3)))</f>
        <v>#NAME?</v>
      </c>
      <c r="EA33" s="1" t="e">
        <f ca="1">IF($C33="","",psi_i(a_iVal3,y_iValDP,$A33,Kij_Val,BIPset,$AC$3,COUNTA(Chem3)))</f>
        <v>#NAME?</v>
      </c>
      <c r="EB33" s="1"/>
      <c r="EC33" s="1" t="e">
        <f t="shared" ca="1" si="178"/>
        <v>#NAME?</v>
      </c>
      <c r="ED33" s="1" t="e">
        <f t="shared" ca="1" si="179"/>
        <v>#NAME?</v>
      </c>
      <c r="EE33" s="1"/>
      <c r="EF33" s="1" t="e">
        <f ca="1">IF($C33="",0,phi_i($DY$28,$DP$28,$DQ$28,O33,$EE$28,DZ33,$EB$28))</f>
        <v>#NAME?</v>
      </c>
      <c r="EG33" s="1" t="e">
        <f ca="1">IF($C33="",0,phi_i($DY$30,$DP$30,$DQ$30,O33,$EE$31,DZ33,$EB$31))</f>
        <v>#NAME?</v>
      </c>
      <c r="EH33" s="1" t="e">
        <f t="shared" ca="1" si="180"/>
        <v>#NAME?</v>
      </c>
      <c r="EI33" s="1" t="e">
        <f t="shared" ca="1" si="181"/>
        <v>#NAME?</v>
      </c>
      <c r="EJ33">
        <f t="shared" ca="1" si="182"/>
        <v>0</v>
      </c>
      <c r="EL33" t="e">
        <f t="shared" ca="1" si="183"/>
        <v>#NAME?</v>
      </c>
      <c r="EN33" t="e">
        <f t="shared" ca="1" si="184"/>
        <v>#NAME?</v>
      </c>
      <c r="EO33" s="89" t="e">
        <f t="shared" ca="1" si="185"/>
        <v>#NAME?</v>
      </c>
      <c r="EP33" s="1"/>
      <c r="EQ33" s="1"/>
      <c r="EZ33" s="1" t="e">
        <f ca="1">IF($C33="","",psi_i(a_iVal3,x_iVal8,$A33,Kij_Val,BIPset,$AC$3,COUNTA(Chem3)))</f>
        <v>#NAME?</v>
      </c>
      <c r="FA33" s="1" t="e">
        <f ca="1">IF($C33="","",psi_i(a_iVal3,y_iValDP,$A33,Kij_Val,BIPset,$AC$3,COUNTA(Chem3)))</f>
        <v>#NAME?</v>
      </c>
      <c r="FB33" s="1"/>
      <c r="FC33" s="1" t="e">
        <f t="shared" ca="1" si="186"/>
        <v>#NAME?</v>
      </c>
      <c r="FD33" s="1" t="e">
        <f t="shared" ca="1" si="187"/>
        <v>#NAME?</v>
      </c>
      <c r="FE33" s="1"/>
      <c r="FF33" s="1" t="e">
        <f ca="1">IF($C33="",0,phi_i($EY$28,$EP$28,$EQ$28,O33,$FE$28,EZ33,$FB$28))</f>
        <v>#NAME?</v>
      </c>
      <c r="FG33" s="1" t="e">
        <f ca="1">IF($C33="",0,phi_i($EY$30,$EP$30,$EQ$30,O33,$FE$31,FA33,$FB$31))</f>
        <v>#NAME?</v>
      </c>
      <c r="FH33" s="1" t="e">
        <f t="shared" ca="1" si="188"/>
        <v>#NAME?</v>
      </c>
      <c r="FI33" s="1" t="e">
        <f t="shared" ca="1" si="189"/>
        <v>#NAME?</v>
      </c>
      <c r="FJ33">
        <f t="shared" ca="1" si="190"/>
        <v>0</v>
      </c>
      <c r="FL33" t="e">
        <f t="shared" ca="1" si="191"/>
        <v>#NAME?</v>
      </c>
      <c r="FN33" t="e">
        <f t="shared" ca="1" si="192"/>
        <v>#NAME?</v>
      </c>
      <c r="FO33" s="89" t="e">
        <f t="shared" ca="1" si="193"/>
        <v>#NAME?</v>
      </c>
      <c r="FP33" s="1"/>
      <c r="FQ33" s="1"/>
      <c r="FZ33" s="1" t="e">
        <f ca="1">IF($C33="","",psi_i(a_iVal3,x_iVal9,$A33,Kij_Val,BIPset,$AC$3,COUNTA(Chem3)))</f>
        <v>#NAME?</v>
      </c>
      <c r="GA33" s="1" t="e">
        <f ca="1">IF($C33="","",psi_i(a_iVal3,y_iValDP,$A33,Kij_Val,BIPset,$AC$3,COUNTA(Chem3)))</f>
        <v>#NAME?</v>
      </c>
      <c r="GB33" s="1"/>
      <c r="GC33" s="1" t="e">
        <f t="shared" ca="1" si="194"/>
        <v>#NAME?</v>
      </c>
      <c r="GD33" s="1" t="e">
        <f t="shared" ca="1" si="195"/>
        <v>#NAME?</v>
      </c>
      <c r="GE33" s="1"/>
      <c r="GF33" s="1" t="e">
        <f ca="1">IF($C33="",0,phi_i($FY$28,$FP$28,$FQ$28,O33,$GE$28,FZ33,$GB$28))</f>
        <v>#NAME?</v>
      </c>
      <c r="GG33" s="1" t="e">
        <f ca="1">IF($C33="",0,phi_i($FY$30,$FP$30,$FQ$30,O33,$GE$31,GA33,$GB$31))</f>
        <v>#NAME?</v>
      </c>
      <c r="GH33" s="1" t="e">
        <f t="shared" ca="1" si="196"/>
        <v>#NAME?</v>
      </c>
      <c r="GI33" s="1" t="e">
        <f t="shared" ca="1" si="197"/>
        <v>#NAME?</v>
      </c>
      <c r="GJ33" t="e">
        <f t="shared" ca="1" si="198"/>
        <v>#NAME?</v>
      </c>
      <c r="GL33" t="e">
        <f t="shared" ca="1" si="199"/>
        <v>#NAME?</v>
      </c>
      <c r="GN33" t="e">
        <f t="shared" ca="1" si="200"/>
        <v>#NAME?</v>
      </c>
      <c r="GO33" s="89" t="e">
        <f t="shared" ca="1" si="201"/>
        <v>#NAME?</v>
      </c>
      <c r="GP33" s="1"/>
      <c r="GQ33" s="1"/>
      <c r="GZ33" s="1" t="e">
        <f ca="1">IF($C33="","",psi_i(a_iVal3,x_iVal10,$A33,Kij_Val,BIPset,$AC$3,COUNTA(Chem3)))</f>
        <v>#NAME?</v>
      </c>
      <c r="HA33" s="1" t="e">
        <f ca="1">IF($C33="","",psi_i(a_iVal3,y_iValDP,$A33,Kij_Val,BIPset,$AC$3,COUNTA(Chem3)))</f>
        <v>#NAME?</v>
      </c>
      <c r="HB33" s="1"/>
      <c r="HC33" s="1" t="e">
        <f t="shared" ca="1" si="202"/>
        <v>#NAME?</v>
      </c>
      <c r="HD33" s="1" t="e">
        <f t="shared" ca="1" si="203"/>
        <v>#NAME?</v>
      </c>
      <c r="HE33" s="1"/>
      <c r="HF33" s="1" t="e">
        <f ca="1">IF($C33="",0,phi_i($GY$28,$GP$28,$GQ$28,O33,$HE$28,GZ33,$HB$28))</f>
        <v>#NAME?</v>
      </c>
      <c r="HG33" s="1" t="e">
        <f ca="1">IF($C33="",0,phi_i($GY$30,$GP$30,$GQ$30,O33,$HE$31,HA33,$HB$31))</f>
        <v>#NAME?</v>
      </c>
      <c r="HH33" s="1" t="e">
        <f t="shared" ca="1" si="204"/>
        <v>#NAME?</v>
      </c>
      <c r="HI33" s="1" t="e">
        <f t="shared" ca="1" si="205"/>
        <v>#NAME?</v>
      </c>
      <c r="HJ33" t="e">
        <f t="shared" ca="1" si="206"/>
        <v>#NAME?</v>
      </c>
      <c r="HL33" t="e">
        <f t="shared" ca="1" si="207"/>
        <v>#NAME?</v>
      </c>
      <c r="HN33" t="e">
        <f t="shared" ca="1" si="208"/>
        <v>#NAME?</v>
      </c>
      <c r="HO33" s="89" t="e">
        <f t="shared" ca="1" si="209"/>
        <v>#NAME?</v>
      </c>
      <c r="HP33" s="1"/>
      <c r="HQ33" s="1"/>
      <c r="HZ33" s="1" t="e">
        <f ca="1">IF($C33="","",psi_i(a_iVal3,x_iVal10,$A33,Kij_Val,BIPset,$AC$3,COUNTA(Chem3)))</f>
        <v>#NAME?</v>
      </c>
      <c r="IA33" s="1" t="e">
        <f ca="1">IF($C33="","",psi_i(a_iVal3,y_iValDP,$A33,Kij_Val,BIPset,$AC$3,COUNTA(Chem3)))</f>
        <v>#NAME?</v>
      </c>
      <c r="IB33" s="1"/>
      <c r="IC33" s="1" t="e">
        <f t="shared" ca="1" si="210"/>
        <v>#NAME?</v>
      </c>
      <c r="ID33" s="1" t="e">
        <f t="shared" ca="1" si="211"/>
        <v>#NAME?</v>
      </c>
      <c r="IE33" s="1"/>
      <c r="IF33" s="1" t="e">
        <f ca="1">IF($C33="",0,phi_i($GY$28,$GP$28,$GQ$28,AO33,$HE$28,HZ33,$HB$28))</f>
        <v>#NAME?</v>
      </c>
      <c r="IG33" s="1" t="e">
        <f ca="1">IF($C33="",0,phi_i($GY$30,$GP$30,$GQ$30,AO33,$HE$31,IA33,$HB$31))</f>
        <v>#NAME?</v>
      </c>
      <c r="IH33" s="1" t="e">
        <f t="shared" ca="1" si="212"/>
        <v>#NAME?</v>
      </c>
      <c r="II33" s="1" t="e">
        <f t="shared" ca="1" si="213"/>
        <v>#NAME?</v>
      </c>
      <c r="IJ33" t="e">
        <f t="shared" ca="1" si="214"/>
        <v>#NAME?</v>
      </c>
      <c r="IL33" t="e">
        <f t="shared" ca="1" si="215"/>
        <v>#NAME?</v>
      </c>
      <c r="IN33" t="e">
        <f t="shared" ca="1" si="216"/>
        <v>#NAME?</v>
      </c>
      <c r="IO33" s="89" t="e">
        <f t="shared" ca="1" si="217"/>
        <v>#NAME?</v>
      </c>
    </row>
    <row r="34" spans="1:249">
      <c r="A34">
        <f t="shared" si="218"/>
        <v>7</v>
      </c>
      <c r="B34" s="18"/>
      <c r="C34" s="18"/>
      <c r="D34" s="18"/>
      <c r="Z34" s="1" t="str">
        <f>IF($C34="","",psi_i(a_iVal3,x_iVal3,$A34,Kij_Val,BIPset,$AC$3,COUNTA(Chem3)))</f>
        <v/>
      </c>
      <c r="AA34" s="1" t="str">
        <f>IF($C34="","",psi_i(a_iVal3,y_iValDP,$A34,Kij_Val,BIPset,$AC$3,COUNTA(Chem3)))</f>
        <v/>
      </c>
      <c r="AH34" s="1">
        <f t="shared" si="148"/>
        <v>0</v>
      </c>
      <c r="AI34" s="1">
        <f t="shared" si="149"/>
        <v>0</v>
      </c>
      <c r="AJ34">
        <f t="shared" si="150"/>
        <v>0</v>
      </c>
      <c r="AO34" s="89"/>
      <c r="AZ34" s="1" t="str">
        <f>IF($C34="","",psi_i(a_iVal3,x_iVal4,$A34,Kij_Val,BIPset,$AC$3,COUNTA(Chem3)))</f>
        <v/>
      </c>
      <c r="BA34" s="1" t="str">
        <f>IF($C34="","",psi_i(a_iVal3,y_iValDP,$A34,Kij_Val,BIPset,$AC$3,COUNTA(Chem3)))</f>
        <v/>
      </c>
      <c r="BC34" s="1">
        <f t="shared" si="154"/>
        <v>0</v>
      </c>
      <c r="BD34" s="1">
        <f t="shared" si="155"/>
        <v>0</v>
      </c>
      <c r="BF34" s="1">
        <f>IF($C34="",0,phi_i($AY$28,$AP$28,$AQ$28,O34,$BE$28,AZ34,$BB$28))</f>
        <v>0</v>
      </c>
      <c r="BG34" s="1">
        <f>IF($C34="",0,phi_i($AY$30,$AP$30,$AQ$30,O34,$BE$31,BA34,$BB$31))</f>
        <v>0</v>
      </c>
      <c r="BH34" s="1" t="e">
        <f t="shared" ca="1" si="156"/>
        <v>#NAME?</v>
      </c>
      <c r="BI34" s="1" t="e">
        <f t="shared" ca="1" si="157"/>
        <v>#NAME?</v>
      </c>
      <c r="BJ34">
        <f t="shared" ca="1" si="158"/>
        <v>0</v>
      </c>
      <c r="BO34" s="89"/>
      <c r="BZ34" s="1" t="str">
        <f>IF($C34="","",psi_i(a_iVal3,x_iVal5,$A34,Kij_Val,BIPset,$AC$3,COUNTA(Chem3)))</f>
        <v/>
      </c>
      <c r="CA34" s="1" t="str">
        <f>IF($C34="","",psi_i(a_iVal3,y_iValDP,$A34,Kij_Val,BIPset,$AC$3,COUNTA(Chem3)))</f>
        <v/>
      </c>
      <c r="CC34" s="1">
        <f t="shared" si="162"/>
        <v>0</v>
      </c>
      <c r="CD34" s="1">
        <f t="shared" si="163"/>
        <v>0</v>
      </c>
      <c r="CF34" s="1">
        <f>IF($C34="",0,phi_i($BY$28,$BP$28,$BQ$28,O34,$CE$28,BZ34,$CB$28))</f>
        <v>0</v>
      </c>
      <c r="CG34" s="1">
        <f>IF($C34="",0,phi_i($BY$30,$BP$30,$BQ$30,O34,$CE$31,CA34,$CB$31))</f>
        <v>0</v>
      </c>
      <c r="CH34" s="1" t="e">
        <f t="shared" ca="1" si="164"/>
        <v>#NAME?</v>
      </c>
      <c r="CI34" s="1" t="e">
        <f t="shared" ca="1" si="165"/>
        <v>#NAME?</v>
      </c>
      <c r="CJ34">
        <f t="shared" ca="1" si="166"/>
        <v>0</v>
      </c>
      <c r="CO34" s="89"/>
      <c r="CZ34" s="1" t="str">
        <f>IF($C34="","",psi_i(a_iVal3,x_iVal6,$A34,Kij_Val,BIPset,$AC$3,COUNTA(Chem3)))</f>
        <v/>
      </c>
      <c r="DA34" s="1" t="str">
        <f>IF($C34="","",psi_i(a_iVal3,y_iValDP,$A34,Kij_Val,BIPset,$AC$3,COUNTA(Chem3)))</f>
        <v/>
      </c>
      <c r="DC34" s="1">
        <f t="shared" si="170"/>
        <v>0</v>
      </c>
      <c r="DD34" s="1">
        <f t="shared" si="171"/>
        <v>0</v>
      </c>
      <c r="DF34" s="1">
        <f>IF($C34="",0,phi_i($CY$28,$CP$28,$CQ$28,O34,$DE$28,CZ34,$DB$28))</f>
        <v>0</v>
      </c>
      <c r="DG34" s="1">
        <f>IF($C34="",0,phi_i($CY$30,$CP$30,$CQ$30,O34,$DE$31,DA34,$DB$31))</f>
        <v>0</v>
      </c>
      <c r="DH34" s="1" t="e">
        <f t="shared" ca="1" si="172"/>
        <v>#NAME?</v>
      </c>
      <c r="DI34" s="1" t="e">
        <f t="shared" ca="1" si="173"/>
        <v>#NAME?</v>
      </c>
      <c r="DJ34">
        <f t="shared" ca="1" si="174"/>
        <v>0</v>
      </c>
      <c r="DO34" s="89"/>
      <c r="DZ34" s="1" t="str">
        <f>IF($C34="","",psi_i(a_iVal3,x_iVal7,$A34,Kij_Val,BIPset,$AC$3,COUNTA(Chem3)))</f>
        <v/>
      </c>
      <c r="EA34" s="1" t="str">
        <f>IF($C34="","",psi_i(a_iVal3,y_iValDP,$A34,Kij_Val,BIPset,$AC$3,COUNTA(Chem3)))</f>
        <v/>
      </c>
      <c r="EC34" s="1">
        <f t="shared" si="178"/>
        <v>0</v>
      </c>
      <c r="ED34" s="1">
        <f t="shared" si="179"/>
        <v>0</v>
      </c>
      <c r="EF34" s="1">
        <f>IF($C34="",0,phi_i($DY$28,$DP$28,$DQ$28,O34,$EE$28,DZ34,$EB$28))</f>
        <v>0</v>
      </c>
      <c r="EG34" s="1">
        <f>IF($C34="",0,phi_i($DY$30,$DP$30,$DQ$30,O34,$EE$31,DZ34,$EB$31))</f>
        <v>0</v>
      </c>
      <c r="EH34" s="1" t="e">
        <f t="shared" ca="1" si="180"/>
        <v>#NAME?</v>
      </c>
      <c r="EI34" s="1" t="e">
        <f t="shared" ca="1" si="181"/>
        <v>#NAME?</v>
      </c>
      <c r="EJ34">
        <f t="shared" ca="1" si="182"/>
        <v>0</v>
      </c>
      <c r="EO34" s="89"/>
      <c r="EZ34" s="1" t="str">
        <f>IF($C34="","",psi_i(a_iVal3,x_iVal8,$A34,Kij_Val,BIPset,$AC$3,COUNTA(Chem3)))</f>
        <v/>
      </c>
      <c r="FA34" s="1" t="str">
        <f>IF($C34="","",psi_i(a_iVal3,y_iValDP,$A34,Kij_Val,BIPset,$AC$3,COUNTA(Chem3)))</f>
        <v/>
      </c>
      <c r="FC34" s="1">
        <f t="shared" si="186"/>
        <v>0</v>
      </c>
      <c r="FD34" s="1">
        <f t="shared" si="187"/>
        <v>0</v>
      </c>
      <c r="FF34" s="1">
        <f>IF($C34="",0,phi_i($EY$28,$EP$28,$EQ$28,O34,$FE$28,EZ34,$FB$28))</f>
        <v>0</v>
      </c>
      <c r="FG34" s="1">
        <f>IF($C34="",0,phi_i($EY$30,$EP$30,$EQ$30,O34,$FE$31,FA34,$FB$31))</f>
        <v>0</v>
      </c>
      <c r="FH34" s="1" t="e">
        <f t="shared" ca="1" si="188"/>
        <v>#NAME?</v>
      </c>
      <c r="FI34" s="1" t="e">
        <f t="shared" ca="1" si="189"/>
        <v>#NAME?</v>
      </c>
      <c r="FJ34">
        <f t="shared" ca="1" si="190"/>
        <v>0</v>
      </c>
      <c r="FO34" s="89"/>
      <c r="FZ34" s="1" t="str">
        <f>IF($C34="","",psi_i(a_iVal3,x_iVal9,$A34,Kij_Val,BIPset,$AC$3,COUNTA(Chem3)))</f>
        <v/>
      </c>
      <c r="GA34" s="1" t="str">
        <f>IF($C34="","",psi_i(a_iVal3,y_iValDP,$A34,Kij_Val,BIPset,$AC$3,COUNTA(Chem3)))</f>
        <v/>
      </c>
      <c r="GC34" s="1">
        <f t="shared" si="194"/>
        <v>0</v>
      </c>
      <c r="GD34" s="1">
        <f t="shared" si="195"/>
        <v>0</v>
      </c>
      <c r="GF34" s="1">
        <f>IF($C34="",0,phi_i($FY$28,$FP$28,$FQ$28,O34,$GE$28,FZ34,$GB$28))</f>
        <v>0</v>
      </c>
      <c r="GG34" s="1">
        <f>IF($C34="",0,phi_i($FY$30,$FP$30,$FQ$30,O34,$GE$31,GA34,$GB$31))</f>
        <v>0</v>
      </c>
      <c r="GH34" s="1" t="e">
        <f t="shared" ca="1" si="196"/>
        <v>#NAME?</v>
      </c>
      <c r="GI34" s="1" t="e">
        <f t="shared" ca="1" si="197"/>
        <v>#NAME?</v>
      </c>
      <c r="GO34" s="89"/>
      <c r="GZ34" s="1" t="str">
        <f>IF($C34="","",psi_i(a_iVal3,x_iVal10,$A34,Kij_Val,BIPset,$AC$3,COUNTA(Chem3)))</f>
        <v/>
      </c>
      <c r="HA34" s="1" t="str">
        <f>IF($C34="","",psi_i(a_iVal3,y_iValDP,$A34,Kij_Val,BIPset,$AC$3,COUNTA(Chem3)))</f>
        <v/>
      </c>
      <c r="HC34" s="1">
        <f t="shared" si="202"/>
        <v>0</v>
      </c>
      <c r="HD34" s="1">
        <f t="shared" si="203"/>
        <v>0</v>
      </c>
      <c r="HF34" s="1">
        <f>IF($C34="",0,phi_i($GY$28,$GP$28,$GQ$28,O34,$HE$28,GZ34,$HB$28))</f>
        <v>0</v>
      </c>
      <c r="HG34" s="1">
        <f>IF($C34="",0,phi_i($GY$30,$GP$30,$GQ$30,O34,$HE$31,HA34,$HB$31))</f>
        <v>0</v>
      </c>
      <c r="HH34" s="1" t="e">
        <f t="shared" ca="1" si="204"/>
        <v>#NAME?</v>
      </c>
      <c r="HI34" s="1" t="e">
        <f t="shared" ca="1" si="205"/>
        <v>#NAME?</v>
      </c>
      <c r="HO34" s="89"/>
      <c r="HZ34" s="1" t="str">
        <f>IF($C34="","",psi_i(a_iVal3,x_iVal10,$A34,Kij_Val,BIPset,$AC$3,COUNTA(Chem3)))</f>
        <v/>
      </c>
      <c r="IA34" s="1" t="str">
        <f>IF($C34="","",psi_i(a_iVal3,y_iValDP,$A34,Kij_Val,BIPset,$AC$3,COUNTA(Chem3)))</f>
        <v/>
      </c>
      <c r="IC34" s="1">
        <f t="shared" si="210"/>
        <v>0</v>
      </c>
      <c r="ID34" s="1">
        <f t="shared" si="211"/>
        <v>0</v>
      </c>
      <c r="IF34" s="1">
        <f>IF($C34="",0,phi_i($GY$28,$GP$28,$GQ$28,AO34,$HE$28,HZ34,$HB$28))</f>
        <v>0</v>
      </c>
      <c r="IG34" s="1">
        <f>IF($C34="",0,phi_i($GY$30,$GP$30,$GQ$30,AO34,$HE$31,IA34,$HB$31))</f>
        <v>0</v>
      </c>
      <c r="IH34" s="1" t="e">
        <f t="shared" ca="1" si="212"/>
        <v>#NAME?</v>
      </c>
      <c r="II34" s="1" t="e">
        <f t="shared" ca="1" si="213"/>
        <v>#NAME?</v>
      </c>
      <c r="IO34" s="89"/>
    </row>
    <row r="35" spans="1:249">
      <c r="A35">
        <f t="shared" si="218"/>
        <v>8</v>
      </c>
      <c r="B35" s="18"/>
      <c r="C35" s="18"/>
      <c r="D35" s="18"/>
      <c r="Z35" s="1" t="str">
        <f>IF($C35="","",psi_i(a_iVal3,x_iVal3,$A35,Kij_Val,BIPset,$AC$3,COUNTA(Chem3)))</f>
        <v/>
      </c>
      <c r="AA35" s="1" t="str">
        <f>IF($C35="","",psi_i(a_iVal3,y_iValDP,$A35,Kij_Val,BIPset,$AC$3,COUNTA(Chem3)))</f>
        <v/>
      </c>
      <c r="AH35" s="1">
        <f t="shared" si="148"/>
        <v>0</v>
      </c>
      <c r="AI35" s="1">
        <f t="shared" si="149"/>
        <v>0</v>
      </c>
      <c r="AJ35">
        <f t="shared" si="150"/>
        <v>0</v>
      </c>
      <c r="AO35" s="89"/>
      <c r="AZ35" s="1" t="str">
        <f>IF($C35="","",psi_i(a_iVal3,x_iVal4,$A35,Kij_Val,BIPset,$AC$3,COUNTA(Chem3)))</f>
        <v/>
      </c>
      <c r="BA35" s="1" t="str">
        <f>IF($C35="","",psi_i(a_iVal3,y_iValDP,$A35,Kij_Val,BIPset,$AC$3,COUNTA(Chem3)))</f>
        <v/>
      </c>
      <c r="BC35" s="1">
        <f t="shared" si="154"/>
        <v>0</v>
      </c>
      <c r="BD35" s="1">
        <f t="shared" si="155"/>
        <v>0</v>
      </c>
      <c r="BF35" s="1">
        <f>IF($C35="",0,phi_i($AY$28,$AP$28,$AQ$28,O35,$BE$28,AZ35,$BB$28))</f>
        <v>0</v>
      </c>
      <c r="BG35" s="1">
        <f>IF($C35="",0,phi_i($AY$30,$AP$30,$AQ$30,O35,$BE$31,BA35,$BB$31))</f>
        <v>0</v>
      </c>
      <c r="BH35" s="1" t="e">
        <f t="shared" ca="1" si="156"/>
        <v>#NAME?</v>
      </c>
      <c r="BI35" s="1" t="e">
        <f t="shared" ca="1" si="157"/>
        <v>#NAME?</v>
      </c>
      <c r="BJ35">
        <f t="shared" ca="1" si="158"/>
        <v>0</v>
      </c>
      <c r="BO35" s="89"/>
      <c r="BZ35" s="1" t="str">
        <f>IF($C35="","",psi_i(a_iVal3,x_iVal5,$A35,Kij_Val,BIPset,$AC$3,COUNTA(Chem3)))</f>
        <v/>
      </c>
      <c r="CA35" s="1" t="str">
        <f>IF($C35="","",psi_i(a_iVal3,y_iValDP,$A35,Kij_Val,BIPset,$AC$3,COUNTA(Chem3)))</f>
        <v/>
      </c>
      <c r="CC35" s="1">
        <f t="shared" si="162"/>
        <v>0</v>
      </c>
      <c r="CD35" s="1">
        <f t="shared" si="163"/>
        <v>0</v>
      </c>
      <c r="CF35" s="1">
        <f>IF($C35="",0,phi_i($BY$28,$BP$28,$BQ$28,O35,$CE$28,BZ35,$CB$28))</f>
        <v>0</v>
      </c>
      <c r="CG35" s="1">
        <f>IF($C35="",0,phi_i($BY$30,$BP$30,$BQ$30,O35,$CE$31,CA35,$CB$31))</f>
        <v>0</v>
      </c>
      <c r="CH35" s="1" t="e">
        <f t="shared" ca="1" si="164"/>
        <v>#NAME?</v>
      </c>
      <c r="CI35" s="1" t="e">
        <f t="shared" ca="1" si="165"/>
        <v>#NAME?</v>
      </c>
      <c r="CJ35">
        <f t="shared" ca="1" si="166"/>
        <v>0</v>
      </c>
      <c r="CO35" s="89"/>
      <c r="CZ35" s="1" t="str">
        <f>IF($C35="","",psi_i(a_iVal3,x_iVal6,$A35,Kij_Val,BIPset,$AC$3,COUNTA(Chem3)))</f>
        <v/>
      </c>
      <c r="DA35" s="1" t="str">
        <f>IF($C35="","",psi_i(a_iVal3,y_iValDP,$A35,Kij_Val,BIPset,$AC$3,COUNTA(Chem3)))</f>
        <v/>
      </c>
      <c r="DC35" s="1">
        <f t="shared" si="170"/>
        <v>0</v>
      </c>
      <c r="DD35" s="1">
        <f t="shared" si="171"/>
        <v>0</v>
      </c>
      <c r="DF35" s="1">
        <f>IF($C35="",0,phi_i($CY$28,$CP$28,$CQ$28,O35,$DE$28,CZ35,$DB$28))</f>
        <v>0</v>
      </c>
      <c r="DG35" s="1">
        <f>IF($C35="",0,phi_i($CY$30,$CP$30,$CQ$30,O35,$DE$31,DA35,$DB$31))</f>
        <v>0</v>
      </c>
      <c r="DH35" s="1" t="e">
        <f t="shared" ca="1" si="172"/>
        <v>#NAME?</v>
      </c>
      <c r="DI35" s="1" t="e">
        <f t="shared" ca="1" si="173"/>
        <v>#NAME?</v>
      </c>
      <c r="DJ35">
        <f t="shared" ca="1" si="174"/>
        <v>0</v>
      </c>
      <c r="DO35" s="89"/>
      <c r="DZ35" s="1" t="str">
        <f>IF($C35="","",psi_i(a_iVal3,x_iVal7,$A35,Kij_Val,BIPset,$AC$3,COUNTA(Chem3)))</f>
        <v/>
      </c>
      <c r="EA35" s="1" t="str">
        <f>IF($C35="","",psi_i(a_iVal3,y_iValDP,$A35,Kij_Val,BIPset,$AC$3,COUNTA(Chem3)))</f>
        <v/>
      </c>
      <c r="EC35" s="1">
        <f t="shared" si="178"/>
        <v>0</v>
      </c>
      <c r="ED35" s="1">
        <f t="shared" si="179"/>
        <v>0</v>
      </c>
      <c r="EF35" s="1">
        <f>IF($C35="",0,phi_i($DY$28,$DP$28,$DQ$28,O35,$EE$28,DZ35,$EB$28))</f>
        <v>0</v>
      </c>
      <c r="EG35" s="1">
        <f>IF($C35="",0,phi_i($DY$30,$DP$30,$DQ$30,O35,$EE$31,DZ35,$EB$31))</f>
        <v>0</v>
      </c>
      <c r="EH35" s="1" t="e">
        <f t="shared" ca="1" si="180"/>
        <v>#NAME?</v>
      </c>
      <c r="EI35" s="1" t="e">
        <f t="shared" ca="1" si="181"/>
        <v>#NAME?</v>
      </c>
      <c r="EJ35">
        <f t="shared" ca="1" si="182"/>
        <v>0</v>
      </c>
      <c r="EO35" s="89"/>
      <c r="EZ35" s="1" t="str">
        <f>IF($C35="","",psi_i(a_iVal3,x_iVal8,$A35,Kij_Val,BIPset,$AC$3,COUNTA(Chem3)))</f>
        <v/>
      </c>
      <c r="FA35" s="1" t="str">
        <f>IF($C35="","",psi_i(a_iVal3,y_iValDP,$A35,Kij_Val,BIPset,$AC$3,COUNTA(Chem3)))</f>
        <v/>
      </c>
      <c r="FC35" s="1">
        <f t="shared" si="186"/>
        <v>0</v>
      </c>
      <c r="FD35" s="1">
        <f t="shared" si="187"/>
        <v>0</v>
      </c>
      <c r="FF35" s="1">
        <f>IF($C35="",0,phi_i($EY$28,$EP$28,$EQ$28,O35,$FE$28,EZ35,$FB$28))</f>
        <v>0</v>
      </c>
      <c r="FG35" s="1">
        <f>IF($C35="",0,phi_i($EY$30,$EP$30,$EQ$30,O35,$FE$31,FA35,$FB$31))</f>
        <v>0</v>
      </c>
      <c r="FH35" s="1" t="e">
        <f t="shared" ca="1" si="188"/>
        <v>#NAME?</v>
      </c>
      <c r="FI35" s="1" t="e">
        <f t="shared" ca="1" si="189"/>
        <v>#NAME?</v>
      </c>
      <c r="FJ35">
        <f t="shared" ca="1" si="190"/>
        <v>0</v>
      </c>
      <c r="FO35" s="89"/>
      <c r="FZ35" s="1" t="str">
        <f>IF($C35="","",psi_i(a_iVal3,x_iVal9,$A35,Kij_Val,BIPset,$AC$3,COUNTA(Chem3)))</f>
        <v/>
      </c>
      <c r="GA35" s="1" t="str">
        <f>IF($C35="","",psi_i(a_iVal3,y_iValDP,$A35,Kij_Val,BIPset,$AC$3,COUNTA(Chem3)))</f>
        <v/>
      </c>
      <c r="GC35" s="1">
        <f t="shared" si="194"/>
        <v>0</v>
      </c>
      <c r="GD35" s="1">
        <f t="shared" si="195"/>
        <v>0</v>
      </c>
      <c r="GF35" s="1">
        <f>IF($C35="",0,phi_i($FY$28,$FP$28,$FQ$28,O35,$GE$28,FZ35,$GB$28))</f>
        <v>0</v>
      </c>
      <c r="GG35" s="1">
        <f>IF($C35="",0,phi_i($FY$30,$FP$30,$FQ$30,O35,$GE$31,GA35,$GB$31))</f>
        <v>0</v>
      </c>
      <c r="GH35" s="1" t="e">
        <f t="shared" ca="1" si="196"/>
        <v>#NAME?</v>
      </c>
      <c r="GI35" s="1" t="e">
        <f t="shared" ca="1" si="197"/>
        <v>#NAME?</v>
      </c>
      <c r="GO35" s="89"/>
      <c r="GZ35" s="1" t="str">
        <f>IF($C35="","",psi_i(a_iVal3,x_iVal10,$A35,Kij_Val,BIPset,$AC$3,COUNTA(Chem3)))</f>
        <v/>
      </c>
      <c r="HA35" s="1" t="str">
        <f>IF($C35="","",psi_i(a_iVal3,y_iValDP,$A35,Kij_Val,BIPset,$AC$3,COUNTA(Chem3)))</f>
        <v/>
      </c>
      <c r="HC35" s="1">
        <f t="shared" si="202"/>
        <v>0</v>
      </c>
      <c r="HD35" s="1">
        <f t="shared" si="203"/>
        <v>0</v>
      </c>
      <c r="HF35" s="1">
        <f>IF($C35="",0,phi_i($GY$28,$GP$28,$GQ$28,O35,$HE$28,GZ35,$HB$28))</f>
        <v>0</v>
      </c>
      <c r="HG35" s="1">
        <f>IF($C35="",0,phi_i($GY$30,$GP$30,$GQ$30,O35,$HE$31,HA35,$HB$31))</f>
        <v>0</v>
      </c>
      <c r="HH35" s="1" t="e">
        <f t="shared" ca="1" si="204"/>
        <v>#NAME?</v>
      </c>
      <c r="HI35" s="1" t="e">
        <f t="shared" ca="1" si="205"/>
        <v>#NAME?</v>
      </c>
      <c r="HO35" s="89"/>
      <c r="HZ35" s="1" t="str">
        <f>IF($C35="","",psi_i(a_iVal3,x_iVal10,$A35,Kij_Val,BIPset,$AC$3,COUNTA(Chem3)))</f>
        <v/>
      </c>
      <c r="IA35" s="1" t="str">
        <f>IF($C35="","",psi_i(a_iVal3,y_iValDP,$A35,Kij_Val,BIPset,$AC$3,COUNTA(Chem3)))</f>
        <v/>
      </c>
      <c r="IC35" s="1">
        <f t="shared" si="210"/>
        <v>0</v>
      </c>
      <c r="ID35" s="1">
        <f t="shared" si="211"/>
        <v>0</v>
      </c>
      <c r="IF35" s="1">
        <f>IF($C35="",0,phi_i($GY$28,$GP$28,$GQ$28,AO35,$HE$28,HZ35,$HB$28))</f>
        <v>0</v>
      </c>
      <c r="IG35" s="1">
        <f>IF($C35="",0,phi_i($GY$30,$GP$30,$GQ$30,AO35,$HE$31,IA35,$HB$31))</f>
        <v>0</v>
      </c>
      <c r="IH35" s="1" t="e">
        <f t="shared" ca="1" si="212"/>
        <v>#NAME?</v>
      </c>
      <c r="II35" s="1" t="e">
        <f t="shared" ca="1" si="213"/>
        <v>#NAME?</v>
      </c>
      <c r="IO35" s="89"/>
    </row>
    <row r="36" spans="1:249">
      <c r="A36">
        <f t="shared" si="218"/>
        <v>9</v>
      </c>
      <c r="B36" s="18"/>
      <c r="C36" s="18"/>
      <c r="D36" s="18"/>
      <c r="Z36" s="1" t="str">
        <f>IF($C36="","",psi_i(a_iVal3,x_iVal3,$A36,Kij_Val,BIPset,$AC$3,COUNTA(Chem3)))</f>
        <v/>
      </c>
      <c r="AA36" s="1" t="str">
        <f>IF($C36="","",psi_i(a_iVal3,y_iValDP,$A36,Kij_Val,BIPset,$AC$3,COUNTA(Chem3)))</f>
        <v/>
      </c>
      <c r="AH36" s="1">
        <f t="shared" si="148"/>
        <v>0</v>
      </c>
      <c r="AI36" s="1">
        <f t="shared" si="149"/>
        <v>0</v>
      </c>
      <c r="AJ36">
        <f t="shared" si="150"/>
        <v>0</v>
      </c>
      <c r="AO36" s="89"/>
      <c r="AZ36" s="1" t="str">
        <f>IF($C36="","",psi_i(a_iVal3,x_iVal4,$A36,Kij_Val,BIPset,$AC$3,COUNTA(Chem3)))</f>
        <v/>
      </c>
      <c r="BA36" s="1" t="str">
        <f>IF($C36="","",psi_i(a_iVal3,y_iValDP,$A36,Kij_Val,BIPset,$AC$3,COUNTA(Chem3)))</f>
        <v/>
      </c>
      <c r="BC36" s="1">
        <f t="shared" si="154"/>
        <v>0</v>
      </c>
      <c r="BD36" s="1">
        <f t="shared" si="155"/>
        <v>0</v>
      </c>
      <c r="BF36" s="1">
        <f>IF($C36="",0,phi_i($AY$28,$AP$28,$AQ$28,O36,$BE$28,AZ36,$BB$28))</f>
        <v>0</v>
      </c>
      <c r="BG36" s="1">
        <f>IF($C36="",0,phi_i($AY$30,$AP$30,$AQ$30,O36,$BE$31,BA36,$BB$31))</f>
        <v>0</v>
      </c>
      <c r="BH36" s="1" t="e">
        <f t="shared" ca="1" si="156"/>
        <v>#NAME?</v>
      </c>
      <c r="BI36" s="1" t="e">
        <f t="shared" ca="1" si="157"/>
        <v>#NAME?</v>
      </c>
      <c r="BJ36">
        <f t="shared" ca="1" si="158"/>
        <v>0</v>
      </c>
      <c r="BO36" s="89"/>
      <c r="BZ36" s="1" t="str">
        <f>IF($C36="","",psi_i(a_iVal3,x_iVal5,$A36,Kij_Val,BIPset,$AC$3,COUNTA(Chem3)))</f>
        <v/>
      </c>
      <c r="CA36" s="1" t="str">
        <f>IF($C36="","",psi_i(a_iVal3,y_iValDP,$A36,Kij_Val,BIPset,$AC$3,COUNTA(Chem3)))</f>
        <v/>
      </c>
      <c r="CC36" s="1">
        <f t="shared" si="162"/>
        <v>0</v>
      </c>
      <c r="CD36" s="1">
        <f t="shared" si="163"/>
        <v>0</v>
      </c>
      <c r="CF36" s="1">
        <f>IF($C36="",0,phi_i($BY$28,$BP$28,$BQ$28,O36,$CE$28,BZ36,$CB$28))</f>
        <v>0</v>
      </c>
      <c r="CG36" s="1">
        <f>IF($C36="",0,phi_i($BY$30,$BP$30,$BQ$30,O36,$CE$31,CA36,$CB$31))</f>
        <v>0</v>
      </c>
      <c r="CH36" s="1" t="e">
        <f t="shared" ca="1" si="164"/>
        <v>#NAME?</v>
      </c>
      <c r="CI36" s="1" t="e">
        <f t="shared" ca="1" si="165"/>
        <v>#NAME?</v>
      </c>
      <c r="CJ36">
        <f t="shared" ca="1" si="166"/>
        <v>0</v>
      </c>
      <c r="CO36" s="89"/>
      <c r="CZ36" s="1" t="str">
        <f>IF($C36="","",psi_i(a_iVal3,x_iVal6,$A36,Kij_Val,BIPset,$AC$3,COUNTA(Chem3)))</f>
        <v/>
      </c>
      <c r="DA36" s="1" t="str">
        <f>IF($C36="","",psi_i(a_iVal3,y_iValDP,$A36,Kij_Val,BIPset,$AC$3,COUNTA(Chem3)))</f>
        <v/>
      </c>
      <c r="DC36" s="1">
        <f t="shared" si="170"/>
        <v>0</v>
      </c>
      <c r="DD36" s="1">
        <f t="shared" si="171"/>
        <v>0</v>
      </c>
      <c r="DF36" s="1">
        <f>IF($C36="",0,phi_i($CY$28,$CP$28,$CQ$28,O36,$DE$28,CZ36,$DB$28))</f>
        <v>0</v>
      </c>
      <c r="DG36" s="1">
        <f>IF($C36="",0,phi_i($CY$30,$CP$30,$CQ$30,O36,$DE$31,DA36,$DB$31))</f>
        <v>0</v>
      </c>
      <c r="DH36" s="1" t="e">
        <f t="shared" ca="1" si="172"/>
        <v>#NAME?</v>
      </c>
      <c r="DI36" s="1" t="e">
        <f t="shared" ca="1" si="173"/>
        <v>#NAME?</v>
      </c>
      <c r="DJ36">
        <f t="shared" ca="1" si="174"/>
        <v>0</v>
      </c>
      <c r="DO36" s="89"/>
      <c r="DZ36" s="1" t="str">
        <f>IF($C36="","",psi_i(a_iVal3,x_iVal7,$A36,Kij_Val,BIPset,$AC$3,COUNTA(Chem3)))</f>
        <v/>
      </c>
      <c r="EA36" s="1" t="str">
        <f>IF($C36="","",psi_i(a_iVal3,y_iValDP,$A36,Kij_Val,BIPset,$AC$3,COUNTA(Chem3)))</f>
        <v/>
      </c>
      <c r="EC36" s="1">
        <f t="shared" si="178"/>
        <v>0</v>
      </c>
      <c r="ED36" s="1">
        <f t="shared" si="179"/>
        <v>0</v>
      </c>
      <c r="EF36" s="1">
        <f>IF($C36="",0,phi_i($DY$28,$DP$28,$DQ$28,O36,$EE$28,DZ36,$EB$28))</f>
        <v>0</v>
      </c>
      <c r="EG36" s="1">
        <f>IF($C36="",0,phi_i($DY$30,$DP$30,$DQ$30,O36,$EE$31,DZ36,$EB$31))</f>
        <v>0</v>
      </c>
      <c r="EH36" s="1" t="e">
        <f t="shared" ca="1" si="180"/>
        <v>#NAME?</v>
      </c>
      <c r="EI36" s="1" t="e">
        <f t="shared" ca="1" si="181"/>
        <v>#NAME?</v>
      </c>
      <c r="EJ36">
        <f t="shared" ca="1" si="182"/>
        <v>0</v>
      </c>
      <c r="EO36" s="89"/>
      <c r="EZ36" s="1" t="str">
        <f>IF($C36="","",psi_i(a_iVal3,x_iVal8,$A36,Kij_Val,BIPset,$AC$3,COUNTA(Chem3)))</f>
        <v/>
      </c>
      <c r="FA36" s="1" t="str">
        <f>IF($C36="","",psi_i(a_iVal3,y_iValDP,$A36,Kij_Val,BIPset,$AC$3,COUNTA(Chem3)))</f>
        <v/>
      </c>
      <c r="FC36" s="1">
        <f t="shared" si="186"/>
        <v>0</v>
      </c>
      <c r="FD36" s="1">
        <f t="shared" si="187"/>
        <v>0</v>
      </c>
      <c r="FF36" s="1">
        <f>IF($C36="",0,phi_i($EY$28,$EP$28,$EQ$28,O36,$FE$28,EZ36,$FB$28))</f>
        <v>0</v>
      </c>
      <c r="FG36" s="1">
        <f>IF($C36="",0,phi_i($EY$30,$EP$30,$EQ$30,O36,$FE$31,FA36,$FB$31))</f>
        <v>0</v>
      </c>
      <c r="FH36" s="1" t="e">
        <f t="shared" ca="1" si="188"/>
        <v>#NAME?</v>
      </c>
      <c r="FI36" s="1" t="e">
        <f t="shared" ca="1" si="189"/>
        <v>#NAME?</v>
      </c>
      <c r="FJ36">
        <f t="shared" ca="1" si="190"/>
        <v>0</v>
      </c>
      <c r="FO36" s="89"/>
      <c r="FZ36" s="1" t="str">
        <f>IF($C36="","",psi_i(a_iVal3,x_iVal9,$A36,Kij_Val,BIPset,$AC$3,COUNTA(Chem3)))</f>
        <v/>
      </c>
      <c r="GA36" s="1" t="str">
        <f>IF($C36="","",psi_i(a_iVal3,y_iValDP,$A36,Kij_Val,BIPset,$AC$3,COUNTA(Chem3)))</f>
        <v/>
      </c>
      <c r="GC36" s="1">
        <f t="shared" si="194"/>
        <v>0</v>
      </c>
      <c r="GD36" s="1">
        <f t="shared" si="195"/>
        <v>0</v>
      </c>
      <c r="GF36" s="1">
        <f>IF($C36="",0,phi_i($FY$28,$FP$28,$FQ$28,O36,$GE$28,FZ36,$GB$28))</f>
        <v>0</v>
      </c>
      <c r="GG36" s="1">
        <f>IF($C36="",0,phi_i($FY$30,$FP$30,$FQ$30,O36,$GE$31,GA36,$GB$31))</f>
        <v>0</v>
      </c>
      <c r="GH36" s="1" t="e">
        <f t="shared" ca="1" si="196"/>
        <v>#NAME?</v>
      </c>
      <c r="GI36" s="1" t="e">
        <f t="shared" ca="1" si="197"/>
        <v>#NAME?</v>
      </c>
      <c r="GO36" s="89"/>
      <c r="GZ36" s="1" t="str">
        <f>IF($C36="","",psi_i(a_iVal3,x_iVal10,$A36,Kij_Val,BIPset,$AC$3,COUNTA(Chem3)))</f>
        <v/>
      </c>
      <c r="HA36" s="1" t="str">
        <f>IF($C36="","",psi_i(a_iVal3,y_iValDP,$A36,Kij_Val,BIPset,$AC$3,COUNTA(Chem3)))</f>
        <v/>
      </c>
      <c r="HC36" s="1">
        <f t="shared" si="202"/>
        <v>0</v>
      </c>
      <c r="HD36" s="1">
        <f t="shared" si="203"/>
        <v>0</v>
      </c>
      <c r="HF36" s="1">
        <f>IF($C36="",0,phi_i($GY$28,$GP$28,$GQ$28,O36,$HE$28,GZ36,$HB$28))</f>
        <v>0</v>
      </c>
      <c r="HG36" s="1">
        <f>IF($C36="",0,phi_i($GY$30,$GP$30,$GQ$30,O36,$HE$31,HA36,$HB$31))</f>
        <v>0</v>
      </c>
      <c r="HH36" s="1" t="e">
        <f t="shared" ca="1" si="204"/>
        <v>#NAME?</v>
      </c>
      <c r="HI36" s="1" t="e">
        <f t="shared" ca="1" si="205"/>
        <v>#NAME?</v>
      </c>
      <c r="HO36" s="89"/>
      <c r="HZ36" s="1" t="str">
        <f>IF($C36="","",psi_i(a_iVal3,x_iVal10,$A36,Kij_Val,BIPset,$AC$3,COUNTA(Chem3)))</f>
        <v/>
      </c>
      <c r="IA36" s="1" t="str">
        <f>IF($C36="","",psi_i(a_iVal3,y_iValDP,$A36,Kij_Val,BIPset,$AC$3,COUNTA(Chem3)))</f>
        <v/>
      </c>
      <c r="IC36" s="1">
        <f t="shared" si="210"/>
        <v>0</v>
      </c>
      <c r="ID36" s="1">
        <f t="shared" si="211"/>
        <v>0</v>
      </c>
      <c r="IF36" s="1">
        <f>IF($C36="",0,phi_i($GY$28,$GP$28,$GQ$28,AO36,$HE$28,HZ36,$HB$28))</f>
        <v>0</v>
      </c>
      <c r="IG36" s="1">
        <f>IF($C36="",0,phi_i($GY$30,$GP$30,$GQ$30,AO36,$HE$31,IA36,$HB$31))</f>
        <v>0</v>
      </c>
      <c r="IH36" s="1" t="e">
        <f t="shared" ca="1" si="212"/>
        <v>#NAME?</v>
      </c>
      <c r="II36" s="1" t="e">
        <f t="shared" ca="1" si="213"/>
        <v>#NAME?</v>
      </c>
      <c r="IO36" s="89"/>
    </row>
    <row r="37" spans="1:249">
      <c r="A37">
        <f t="shared" si="218"/>
        <v>10</v>
      </c>
      <c r="B37" s="18"/>
      <c r="C37" s="18"/>
      <c r="D37" s="18"/>
      <c r="Z37" s="1" t="str">
        <f>IF($C37="","",psi_i(a_iVal3,x_iVal3,$A37,Kij_Val,BIPset,$AC$3,COUNTA(Chem3)))</f>
        <v/>
      </c>
      <c r="AA37" s="1" t="str">
        <f>IF($C37="","",psi_i(a_iVal3,y_iValDP,$A37,Kij_Val,BIPset,$AC$3,COUNTA(Chem3)))</f>
        <v/>
      </c>
      <c r="AH37" s="1">
        <f t="shared" si="148"/>
        <v>0</v>
      </c>
      <c r="AI37" s="1">
        <f t="shared" si="149"/>
        <v>0</v>
      </c>
      <c r="AJ37">
        <f t="shared" si="150"/>
        <v>0</v>
      </c>
      <c r="AO37" s="89"/>
      <c r="AZ37" s="1" t="str">
        <f>IF($C37="","",psi_i(a_iVal3,x_iVal4,$A37,Kij_Val,BIPset,$AC$3,COUNTA(Chem3)))</f>
        <v/>
      </c>
      <c r="BA37" s="1" t="str">
        <f>IF($C37="","",psi_i(a_iVal3,y_iValDP,$A37,Kij_Val,BIPset,$AC$3,COUNTA(Chem3)))</f>
        <v/>
      </c>
      <c r="BC37" s="1">
        <f t="shared" si="154"/>
        <v>0</v>
      </c>
      <c r="BD37" s="1">
        <f t="shared" si="155"/>
        <v>0</v>
      </c>
      <c r="BF37" s="1">
        <f>IF($C37="",0,phi_i($AY$28,$AP$28,$AQ$28,O37,$BE$28,AZ37,$BB$28))</f>
        <v>0</v>
      </c>
      <c r="BG37" s="1">
        <f>IF($C37="",0,phi_i($AY$30,$AP$30,$AQ$30,O37,$BE$31,BA37,$BB$31))</f>
        <v>0</v>
      </c>
      <c r="BH37" s="1" t="e">
        <f t="shared" ca="1" si="156"/>
        <v>#NAME?</v>
      </c>
      <c r="BI37" s="1" t="e">
        <f t="shared" ca="1" si="157"/>
        <v>#NAME?</v>
      </c>
      <c r="BJ37">
        <f t="shared" ca="1" si="158"/>
        <v>0</v>
      </c>
      <c r="BO37" s="89"/>
      <c r="BZ37" s="1" t="str">
        <f>IF($C37="","",psi_i(a_iVal3,x_iVal5,$A37,Kij_Val,BIPset,$AC$3,COUNTA(Chem3)))</f>
        <v/>
      </c>
      <c r="CA37" s="1" t="str">
        <f>IF($C37="","",psi_i(a_iVal3,y_iValDP,$A37,Kij_Val,BIPset,$AC$3,COUNTA(Chem3)))</f>
        <v/>
      </c>
      <c r="CC37" s="1">
        <f t="shared" si="162"/>
        <v>0</v>
      </c>
      <c r="CD37" s="1">
        <f t="shared" si="163"/>
        <v>0</v>
      </c>
      <c r="CF37" s="1">
        <f>IF($C37="",0,phi_i($BY$28,$BP$28,$BQ$28,O37,$CE$28,BZ37,$CB$28))</f>
        <v>0</v>
      </c>
      <c r="CG37" s="1">
        <f>IF($C37="",0,phi_i($BY$30,$BP$30,$BQ$30,O37,$CE$31,CA37,$CB$31))</f>
        <v>0</v>
      </c>
      <c r="CH37" s="1" t="e">
        <f t="shared" ca="1" si="164"/>
        <v>#NAME?</v>
      </c>
      <c r="CI37" s="1" t="e">
        <f t="shared" ca="1" si="165"/>
        <v>#NAME?</v>
      </c>
      <c r="CJ37">
        <f t="shared" ca="1" si="166"/>
        <v>0</v>
      </c>
      <c r="CO37" s="89"/>
      <c r="CZ37" s="1" t="str">
        <f>IF($C37="","",psi_i(a_iVal3,x_iVal6,$A37,Kij_Val,BIPset,$AC$3,COUNTA(Chem3)))</f>
        <v/>
      </c>
      <c r="DA37" s="1" t="str">
        <f>IF($C37="","",psi_i(a_iVal3,y_iValDP,$A37,Kij_Val,BIPset,$AC$3,COUNTA(Chem3)))</f>
        <v/>
      </c>
      <c r="DC37" s="1">
        <f t="shared" si="170"/>
        <v>0</v>
      </c>
      <c r="DD37" s="1">
        <f t="shared" si="171"/>
        <v>0</v>
      </c>
      <c r="DF37" s="1">
        <f>IF($C37="",0,phi_i($CY$28,$CP$28,$CQ$28,O37,$DE$28,CZ37,$DB$28))</f>
        <v>0</v>
      </c>
      <c r="DG37" s="1">
        <f>IF($C37="",0,phi_i($CY$30,$CP$30,$CQ$30,O37,$DE$31,DA37,$DB$31))</f>
        <v>0</v>
      </c>
      <c r="DH37" s="1" t="e">
        <f t="shared" ca="1" si="172"/>
        <v>#NAME?</v>
      </c>
      <c r="DI37" s="1" t="e">
        <f t="shared" ca="1" si="173"/>
        <v>#NAME?</v>
      </c>
      <c r="DJ37">
        <f t="shared" ca="1" si="174"/>
        <v>0</v>
      </c>
      <c r="DO37" s="89"/>
      <c r="DZ37" s="1" t="str">
        <f>IF($C37="","",psi_i(a_iVal3,x_iVal7,$A37,Kij_Val,BIPset,$AC$3,COUNTA(Chem3)))</f>
        <v/>
      </c>
      <c r="EA37" s="1" t="str">
        <f>IF($C37="","",psi_i(a_iVal3,y_iValDP,$A37,Kij_Val,BIPset,$AC$3,COUNTA(Chem3)))</f>
        <v/>
      </c>
      <c r="EC37" s="1">
        <f t="shared" si="178"/>
        <v>0</v>
      </c>
      <c r="ED37" s="1">
        <f t="shared" si="179"/>
        <v>0</v>
      </c>
      <c r="EF37" s="1">
        <f>IF($C37="",0,phi_i($DY$28,$DP$28,$DQ$28,O37,$EE$28,DZ37,$EB$28))</f>
        <v>0</v>
      </c>
      <c r="EG37" s="1">
        <f>IF($C37="",0,phi_i($DY$30,$DP$30,$DQ$30,O37,$EE$31,DZ37,$EB$31))</f>
        <v>0</v>
      </c>
      <c r="EH37" s="1" t="e">
        <f t="shared" ca="1" si="180"/>
        <v>#NAME?</v>
      </c>
      <c r="EI37" s="1" t="e">
        <f t="shared" ca="1" si="181"/>
        <v>#NAME?</v>
      </c>
      <c r="EJ37">
        <f t="shared" ca="1" si="182"/>
        <v>0</v>
      </c>
      <c r="EO37" s="89"/>
      <c r="EZ37" s="1" t="str">
        <f>IF($C37="","",psi_i(a_iVal3,x_iVal8,$A37,Kij_Val,BIPset,$AC$3,COUNTA(Chem3)))</f>
        <v/>
      </c>
      <c r="FA37" s="1" t="str">
        <f>IF($C37="","",psi_i(a_iVal3,y_iValDP,$A37,Kij_Val,BIPset,$AC$3,COUNTA(Chem3)))</f>
        <v/>
      </c>
      <c r="FC37" s="1">
        <f t="shared" si="186"/>
        <v>0</v>
      </c>
      <c r="FD37" s="1">
        <f t="shared" si="187"/>
        <v>0</v>
      </c>
      <c r="FF37" s="1">
        <f>IF($C37="",0,phi_i($EY$28,$EP$28,$EQ$28,O37,$FE$28,EZ37,$FB$28))</f>
        <v>0</v>
      </c>
      <c r="FG37" s="1">
        <f>IF($C37="",0,phi_i($EY$30,$EP$30,$EQ$30,O37,$FE$31,FA37,$FB$31))</f>
        <v>0</v>
      </c>
      <c r="FH37" s="1" t="e">
        <f t="shared" ca="1" si="188"/>
        <v>#NAME?</v>
      </c>
      <c r="FI37" s="1" t="e">
        <f t="shared" ca="1" si="189"/>
        <v>#NAME?</v>
      </c>
      <c r="FJ37">
        <f t="shared" ca="1" si="190"/>
        <v>0</v>
      </c>
      <c r="FO37" s="89"/>
      <c r="FZ37" s="1" t="str">
        <f>IF($C37="","",psi_i(a_iVal3,x_iVal9,$A37,Kij_Val,BIPset,$AC$3,COUNTA(Chem3)))</f>
        <v/>
      </c>
      <c r="GA37" s="1" t="str">
        <f>IF($C37="","",psi_i(a_iVal3,y_iValDP,$A37,Kij_Val,BIPset,$AC$3,COUNTA(Chem3)))</f>
        <v/>
      </c>
      <c r="GC37" s="1">
        <f t="shared" si="194"/>
        <v>0</v>
      </c>
      <c r="GD37" s="1">
        <f t="shared" si="195"/>
        <v>0</v>
      </c>
      <c r="GF37" s="1">
        <f>IF($C37="",0,phi_i($FY$28,$FP$28,$FQ$28,O37,$GE$28,FZ37,$GB$28))</f>
        <v>0</v>
      </c>
      <c r="GG37" s="1">
        <f>IF($C37="",0,phi_i($FY$30,$FP$30,$FQ$30,O37,$GE$31,GA37,$GB$31))</f>
        <v>0</v>
      </c>
      <c r="GH37" s="1" t="e">
        <f t="shared" ca="1" si="196"/>
        <v>#NAME?</v>
      </c>
      <c r="GI37" s="1" t="e">
        <f t="shared" ca="1" si="197"/>
        <v>#NAME?</v>
      </c>
      <c r="GO37" s="89"/>
      <c r="GZ37" s="1" t="str">
        <f>IF($C37="","",psi_i(a_iVal3,x_iVal10,$A37,Kij_Val,BIPset,$AC$3,COUNTA(Chem3)))</f>
        <v/>
      </c>
      <c r="HA37" s="1" t="str">
        <f>IF($C37="","",psi_i(a_iVal3,y_iValDP,$A37,Kij_Val,BIPset,$AC$3,COUNTA(Chem3)))</f>
        <v/>
      </c>
      <c r="HC37" s="1">
        <f t="shared" si="202"/>
        <v>0</v>
      </c>
      <c r="HD37" s="1">
        <f t="shared" si="203"/>
        <v>0</v>
      </c>
      <c r="HF37" s="1">
        <f>IF($C37="",0,phi_i($GY$28,$GP$28,$GQ$28,O37,$HE$28,GZ37,$HB$28))</f>
        <v>0</v>
      </c>
      <c r="HG37" s="1">
        <f>IF($C37="",0,phi_i($GY$30,$GP$30,$GQ$30,O37,$HE$31,HA37,$HB$31))</f>
        <v>0</v>
      </c>
      <c r="HH37" s="1" t="e">
        <f t="shared" ca="1" si="204"/>
        <v>#NAME?</v>
      </c>
      <c r="HI37" s="1" t="e">
        <f t="shared" ca="1" si="205"/>
        <v>#NAME?</v>
      </c>
      <c r="HO37" s="89"/>
      <c r="HZ37" s="1" t="str">
        <f>IF($C37="","",psi_i(a_iVal3,x_iVal10,$A37,Kij_Val,BIPset,$AC$3,COUNTA(Chem3)))</f>
        <v/>
      </c>
      <c r="IA37" s="1" t="str">
        <f>IF($C37="","",psi_i(a_iVal3,y_iValDP,$A37,Kij_Val,BIPset,$AC$3,COUNTA(Chem3)))</f>
        <v/>
      </c>
      <c r="IC37" s="1">
        <f t="shared" si="210"/>
        <v>0</v>
      </c>
      <c r="ID37" s="1">
        <f t="shared" si="211"/>
        <v>0</v>
      </c>
      <c r="IF37" s="1">
        <f>IF($C37="",0,phi_i($GY$28,$GP$28,$GQ$28,AO37,$HE$28,HZ37,$HB$28))</f>
        <v>0</v>
      </c>
      <c r="IG37" s="1">
        <f>IF($C37="",0,phi_i($GY$30,$GP$30,$GQ$30,AO37,$HE$31,IA37,$HB$31))</f>
        <v>0</v>
      </c>
      <c r="IH37" s="1" t="e">
        <f t="shared" ca="1" si="212"/>
        <v>#NAME?</v>
      </c>
      <c r="II37" s="1" t="e">
        <f t="shared" ca="1" si="213"/>
        <v>#NAME?</v>
      </c>
      <c r="IO37" s="89"/>
    </row>
    <row r="69" spans="194:194">
      <c r="GL69" t="s">
        <v>212</v>
      </c>
    </row>
  </sheetData>
  <mergeCells count="5">
    <mergeCell ref="B2:D2"/>
    <mergeCell ref="N5:Q5"/>
    <mergeCell ref="H3:L3"/>
    <mergeCell ref="B23:D23"/>
    <mergeCell ref="H24:L24"/>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dimension ref="B2:AC17"/>
  <sheetViews>
    <sheetView workbookViewId="0">
      <selection activeCell="X7" sqref="X7"/>
    </sheetView>
  </sheetViews>
  <sheetFormatPr defaultColWidth="8.796875" defaultRowHeight="15.6"/>
  <cols>
    <col min="2" max="2" width="17.69921875" customWidth="1"/>
    <col min="7" max="7" width="10.5" bestFit="1" customWidth="1"/>
    <col min="11" max="11" width="11.796875" bestFit="1" customWidth="1"/>
    <col min="12" max="12" width="12.5" bestFit="1" customWidth="1"/>
    <col min="13" max="13" width="10.5" bestFit="1" customWidth="1"/>
    <col min="15" max="15" width="1.69921875" customWidth="1"/>
    <col min="24" max="25" width="14.69921875" customWidth="1"/>
  </cols>
  <sheetData>
    <row r="2" spans="2:29">
      <c r="B2" s="143" t="s">
        <v>0</v>
      </c>
      <c r="C2" s="143"/>
      <c r="D2" s="143"/>
      <c r="H2" t="s">
        <v>5</v>
      </c>
      <c r="J2" t="s">
        <v>93</v>
      </c>
      <c r="K2" t="e">
        <f ca="1">Settings!O3</f>
        <v>#NAME?</v>
      </c>
    </row>
    <row r="3" spans="2:29">
      <c r="B3" s="2" t="s">
        <v>3</v>
      </c>
      <c r="C3" s="2" t="s">
        <v>4</v>
      </c>
      <c r="D3" s="2" t="s">
        <v>5</v>
      </c>
      <c r="H3" t="s">
        <v>213</v>
      </c>
      <c r="J3" t="s">
        <v>92</v>
      </c>
      <c r="K3" t="e">
        <f ca="1">Settings!O4</f>
        <v>#NAME?</v>
      </c>
    </row>
    <row r="4" spans="2:29">
      <c r="B4" s="18" t="str">
        <f>Settings!A3</f>
        <v>Feed FR</v>
      </c>
      <c r="C4" s="109">
        <v>100</v>
      </c>
      <c r="D4" s="109" t="s">
        <v>8</v>
      </c>
    </row>
    <row r="5" spans="2:29">
      <c r="B5" s="18" t="s">
        <v>214</v>
      </c>
      <c r="C5" s="109">
        <v>320</v>
      </c>
      <c r="D5" s="109" t="str">
        <f>Settings!C4</f>
        <v>K</v>
      </c>
      <c r="E5" s="120" t="s">
        <v>215</v>
      </c>
      <c r="F5" s="120"/>
      <c r="G5" s="120"/>
      <c r="H5" s="120"/>
      <c r="I5" s="120"/>
      <c r="J5" s="120" t="s">
        <v>216</v>
      </c>
      <c r="K5" s="120"/>
      <c r="L5" s="120"/>
      <c r="M5" s="120"/>
      <c r="N5" s="120"/>
    </row>
    <row r="6" spans="2:29">
      <c r="B6" s="18" t="str">
        <f>Settings!A5</f>
        <v>Pressure tank</v>
      </c>
      <c r="C6" s="109">
        <v>101</v>
      </c>
      <c r="D6" s="109" t="str">
        <f>Settings!C5</f>
        <v>kPa</v>
      </c>
      <c r="E6" s="64" t="s">
        <v>217</v>
      </c>
      <c r="F6" s="64" t="s">
        <v>218</v>
      </c>
      <c r="G6" s="64" t="s">
        <v>219</v>
      </c>
      <c r="H6" s="64" t="s">
        <v>220</v>
      </c>
      <c r="I6" s="106" t="s">
        <v>221</v>
      </c>
      <c r="J6" s="118" t="s">
        <v>217</v>
      </c>
      <c r="K6" s="64" t="s">
        <v>218</v>
      </c>
      <c r="L6" s="64" t="s">
        <v>219</v>
      </c>
      <c r="M6" s="64" t="s">
        <v>220</v>
      </c>
      <c r="N6" s="106" t="s">
        <v>222</v>
      </c>
      <c r="P6" s="107" t="s">
        <v>90</v>
      </c>
      <c r="Q6" s="107" t="s">
        <v>91</v>
      </c>
      <c r="R6" s="107" t="s">
        <v>223</v>
      </c>
      <c r="S6" s="107" t="s">
        <v>224</v>
      </c>
      <c r="T6" s="107" t="s">
        <v>225</v>
      </c>
      <c r="U6" s="107" t="s">
        <v>226</v>
      </c>
      <c r="V6" s="107" t="s">
        <v>227</v>
      </c>
      <c r="W6" s="107" t="s">
        <v>228</v>
      </c>
      <c r="X6" s="107" t="s">
        <v>229</v>
      </c>
      <c r="Y6" s="107" t="s">
        <v>230</v>
      </c>
      <c r="Z6" s="107" t="s">
        <v>231</v>
      </c>
      <c r="AA6" s="107" t="s">
        <v>232</v>
      </c>
      <c r="AB6" s="107" t="s">
        <v>233</v>
      </c>
      <c r="AC6" s="107" t="s">
        <v>234</v>
      </c>
    </row>
    <row r="7" spans="2:29">
      <c r="B7" s="18" t="str">
        <f>Settings!A6</f>
        <v xml:space="preserve">MF Ethane </v>
      </c>
      <c r="C7" s="109">
        <f>Settings!B6</f>
        <v>0.2</v>
      </c>
      <c r="D7" s="109" t="str">
        <f>Settings!C6</f>
        <v>-</v>
      </c>
      <c r="E7" s="109">
        <v>0</v>
      </c>
      <c r="F7" s="109">
        <v>0</v>
      </c>
      <c r="G7" s="109">
        <v>0</v>
      </c>
      <c r="H7" s="109">
        <v>0</v>
      </c>
      <c r="I7" s="112">
        <f>E7+(F7*$C$5)+(G7*$C$5^2)+(H7*$C$5^4)</f>
        <v>0</v>
      </c>
      <c r="J7" s="97">
        <f>0.04937</f>
        <v>4.9369999999999997E-2</v>
      </c>
      <c r="K7" s="1">
        <f>0.0001392</f>
        <v>1.392E-4</v>
      </c>
      <c r="L7" s="1">
        <f>-0.00000005816</f>
        <v>-5.8159999999999999E-8</v>
      </c>
      <c r="M7" s="1">
        <f>0.00000000000728</f>
        <v>7.2799999999999997E-12</v>
      </c>
      <c r="N7" s="26">
        <f>J7+(K7*$C$5)+(L7*$C$5^2)+(M7*$C$5^4)</f>
        <v>0.1642947488</v>
      </c>
      <c r="P7" t="e">
        <f ca="1">Settings!O5</f>
        <v>#NAME?</v>
      </c>
      <c r="Q7" t="e">
        <f ca="1">Settings!O11</f>
        <v>#NAME?</v>
      </c>
      <c r="R7">
        <f>C7*I7</f>
        <v>0</v>
      </c>
      <c r="S7" t="e">
        <f ca="1">P7*I7</f>
        <v>#NAME?</v>
      </c>
      <c r="T7" t="e">
        <f ca="1">Q7*N7</f>
        <v>#NAME?</v>
      </c>
      <c r="U7">
        <f>SUM(R7:R12)</f>
        <v>0.10983520000000001</v>
      </c>
      <c r="V7" t="e">
        <f ca="1">SUM(S7:S12)</f>
        <v>#NAME?</v>
      </c>
      <c r="W7" t="e">
        <f ca="1">SUM(T7:T12)</f>
        <v>#NAME?</v>
      </c>
      <c r="X7">
        <f>$C$5-298.15</f>
        <v>21.850000000000023</v>
      </c>
      <c r="Y7">
        <f>X7</f>
        <v>21.850000000000023</v>
      </c>
      <c r="Z7">
        <f>$C$4*U7*X7</f>
        <v>239.98991200000026</v>
      </c>
      <c r="AA7" t="e">
        <f ca="1">$K$3*V7*Y7</f>
        <v>#NAME?</v>
      </c>
      <c r="AB7" t="e">
        <f ca="1">$K$2*W7*Y7</f>
        <v>#NAME?</v>
      </c>
      <c r="AC7" t="e">
        <f ca="1">AA7+AB7-Z7</f>
        <v>#NAME?</v>
      </c>
    </row>
    <row r="8" spans="2:29">
      <c r="B8" s="18" t="str">
        <f>Settings!A7</f>
        <v>MF Pentane</v>
      </c>
      <c r="C8" s="109">
        <f>Settings!B7</f>
        <v>0.2</v>
      </c>
      <c r="D8" s="109" t="str">
        <f>Settings!C7</f>
        <v>-</v>
      </c>
      <c r="E8" s="109">
        <f>0.1554</f>
        <v>0.15540000000000001</v>
      </c>
      <c r="F8" s="109">
        <f>0.0004368</f>
        <v>4.3679999999999999E-4</v>
      </c>
      <c r="G8" s="109">
        <v>0</v>
      </c>
      <c r="H8" s="109">
        <v>0</v>
      </c>
      <c r="I8" s="112">
        <f t="shared" ref="I8:I12" si="0">E8+(F8*$C$5)+(G8*$C$5^2)+(H8*$C$5^4)</f>
        <v>0.29517599999999999</v>
      </c>
      <c r="J8" s="97">
        <f>0.1148</f>
        <v>0.1148</v>
      </c>
      <c r="K8" s="1">
        <f>0.0003409</f>
        <v>3.4089999999999999E-4</v>
      </c>
      <c r="L8" s="105">
        <v>-1.899E-7</v>
      </c>
      <c r="M8" s="1">
        <f>0.00000000004226</f>
        <v>4.2259999999999998E-11</v>
      </c>
      <c r="N8" s="26">
        <f t="shared" ref="N8:N12" si="1">J8+(K8*$C$5)+(L8*$C$5^2)+(M8*$C$5^4)</f>
        <v>0.64757045759999998</v>
      </c>
      <c r="P8" t="e">
        <f ca="1">Settings!O6</f>
        <v>#NAME?</v>
      </c>
      <c r="Q8" t="e">
        <f ca="1">Settings!O12</f>
        <v>#NAME?</v>
      </c>
      <c r="R8">
        <f t="shared" ref="R8:R12" si="2">C8*I8</f>
        <v>5.9035200000000003E-2</v>
      </c>
      <c r="S8" t="e">
        <f t="shared" ref="S8:S12" ca="1" si="3">P8*I8</f>
        <v>#NAME?</v>
      </c>
      <c r="T8" t="e">
        <f t="shared" ref="T8:T12" ca="1" si="4">Q8*N8</f>
        <v>#NAME?</v>
      </c>
    </row>
    <row r="9" spans="2:29">
      <c r="B9" s="18" t="str">
        <f>Settings!A8</f>
        <v>MF Hexane</v>
      </c>
      <c r="C9" s="109">
        <f>Settings!B8</f>
        <v>0.2</v>
      </c>
      <c r="D9" s="109" t="str">
        <f>Settings!C8</f>
        <v>-</v>
      </c>
      <c r="E9" s="109">
        <f>0.2163</f>
        <v>0.21629999999999999</v>
      </c>
      <c r="F9" s="109">
        <v>0</v>
      </c>
      <c r="G9" s="109">
        <v>0</v>
      </c>
      <c r="H9" s="109">
        <v>0</v>
      </c>
      <c r="I9" s="112">
        <f t="shared" si="0"/>
        <v>0.21629999999999999</v>
      </c>
      <c r="J9" s="97">
        <f>0.13744</f>
        <v>0.13744000000000001</v>
      </c>
      <c r="K9" s="1">
        <f>0.0004085</f>
        <v>4.0850000000000001E-4</v>
      </c>
      <c r="L9" s="1">
        <f>-0.0000002392</f>
        <v>-2.3920000000000002E-7</v>
      </c>
      <c r="M9" s="1">
        <f>0.00000000005766</f>
        <v>5.7659999999999998E-11</v>
      </c>
      <c r="N9" s="26">
        <f t="shared" si="1"/>
        <v>0.8482748416</v>
      </c>
      <c r="P9" t="e">
        <f ca="1">Settings!O7</f>
        <v>#NAME?</v>
      </c>
      <c r="Q9" t="e">
        <f ca="1">Settings!O13</f>
        <v>#NAME?</v>
      </c>
      <c r="R9">
        <f t="shared" si="2"/>
        <v>4.326E-2</v>
      </c>
      <c r="S9" t="e">
        <f t="shared" ca="1" si="3"/>
        <v>#NAME?</v>
      </c>
      <c r="T9" t="e">
        <f t="shared" ca="1" si="4"/>
        <v>#NAME?</v>
      </c>
    </row>
    <row r="10" spans="2:29">
      <c r="B10" s="18" t="str">
        <f>Settings!A9</f>
        <v>MF Cyclohexane</v>
      </c>
      <c r="C10" s="109">
        <f>Settings!B9</f>
        <v>0.2</v>
      </c>
      <c r="D10" s="109" t="str">
        <f>Settings!C9</f>
        <v>-</v>
      </c>
      <c r="E10" s="109">
        <v>0</v>
      </c>
      <c r="F10" s="109">
        <v>0</v>
      </c>
      <c r="G10" s="109">
        <v>0</v>
      </c>
      <c r="H10" s="109">
        <v>0</v>
      </c>
      <c r="I10" s="112">
        <f t="shared" si="0"/>
        <v>0</v>
      </c>
      <c r="J10" s="97">
        <f>0.09414</f>
        <v>9.4140000000000001E-2</v>
      </c>
      <c r="K10" s="1">
        <f>0.0004962</f>
        <v>4.9620000000000003E-4</v>
      </c>
      <c r="L10" s="1">
        <f>-0.000000319</f>
        <v>-3.1899999999999998E-7</v>
      </c>
      <c r="M10" s="1">
        <f>0.00000000008063</f>
        <v>8.0629999999999997E-11</v>
      </c>
      <c r="N10" s="26">
        <f t="shared" si="1"/>
        <v>1.0657252288000001</v>
      </c>
      <c r="P10" t="e">
        <f ca="1">Settings!O8</f>
        <v>#NAME?</v>
      </c>
      <c r="Q10" t="e">
        <f ca="1">Settings!O14</f>
        <v>#NAME?</v>
      </c>
      <c r="R10">
        <f t="shared" si="2"/>
        <v>0</v>
      </c>
      <c r="S10" t="e">
        <f t="shared" ca="1" si="3"/>
        <v>#NAME?</v>
      </c>
      <c r="T10" t="e">
        <f t="shared" ca="1" si="4"/>
        <v>#NAME?</v>
      </c>
    </row>
    <row r="11" spans="2:29">
      <c r="B11" s="18" t="str">
        <f>Settings!A10</f>
        <v>MF Water</v>
      </c>
      <c r="C11" s="109">
        <f>Settings!B10</f>
        <v>0.1</v>
      </c>
      <c r="D11" s="109" t="str">
        <f>Settings!C10</f>
        <v>-</v>
      </c>
      <c r="E11" s="109">
        <f>0.0754</f>
        <v>7.5399999999999995E-2</v>
      </c>
      <c r="F11" s="109">
        <v>0</v>
      </c>
      <c r="G11" s="109">
        <v>0</v>
      </c>
      <c r="H11" s="109">
        <v>0</v>
      </c>
      <c r="I11" s="112">
        <f t="shared" si="0"/>
        <v>7.5399999999999995E-2</v>
      </c>
      <c r="J11" s="97">
        <f>0.03346</f>
        <v>3.3459999999999997E-2</v>
      </c>
      <c r="K11" s="1">
        <f>0.00000688</f>
        <v>6.8800000000000002E-6</v>
      </c>
      <c r="L11" s="1">
        <f>0.000000007604</f>
        <v>7.6039999999999998E-9</v>
      </c>
      <c r="M11" s="1">
        <f>-0.000000000003593</f>
        <v>-3.5930000000000001E-12</v>
      </c>
      <c r="N11" s="26">
        <f t="shared" si="1"/>
        <v>-1.235086080000003E-3</v>
      </c>
      <c r="P11" t="e">
        <f ca="1">Settings!O9</f>
        <v>#NAME?</v>
      </c>
      <c r="Q11" t="e">
        <f ca="1">Settings!O15</f>
        <v>#NAME?</v>
      </c>
      <c r="R11">
        <f t="shared" si="2"/>
        <v>7.5399999999999998E-3</v>
      </c>
      <c r="S11" t="e">
        <f t="shared" ca="1" si="3"/>
        <v>#NAME?</v>
      </c>
      <c r="T11" t="e">
        <f t="shared" ca="1" si="4"/>
        <v>#NAME?</v>
      </c>
    </row>
    <row r="12" spans="2:29">
      <c r="B12" s="18" t="str">
        <f>Settings!A11</f>
        <v>MF Nitrogen (NC)</v>
      </c>
      <c r="C12" s="109">
        <f>Settings!B11</f>
        <v>9.9999999999999978E-2</v>
      </c>
      <c r="D12" s="109" t="str">
        <f>Settings!C11</f>
        <v>-</v>
      </c>
      <c r="E12" s="109">
        <v>0</v>
      </c>
      <c r="F12" s="109">
        <v>0</v>
      </c>
      <c r="G12" s="109">
        <v>0</v>
      </c>
      <c r="H12" s="109">
        <v>0</v>
      </c>
      <c r="I12" s="112">
        <f t="shared" si="0"/>
        <v>0</v>
      </c>
      <c r="J12" s="97">
        <f>0.029</f>
        <v>2.9000000000000001E-2</v>
      </c>
      <c r="K12" s="1">
        <f>0.000002199</f>
        <v>2.199E-6</v>
      </c>
      <c r="L12" s="1">
        <f>0.000000005723</f>
        <v>5.7230000000000002E-9</v>
      </c>
      <c r="M12" s="1">
        <f>-0.000000000002871</f>
        <v>-2.8710000000000002E-12</v>
      </c>
      <c r="N12" s="26">
        <f t="shared" si="1"/>
        <v>1.8509824000000411E-4</v>
      </c>
      <c r="P12" t="e">
        <f ca="1">Settings!O10</f>
        <v>#NAME?</v>
      </c>
      <c r="Q12" t="e">
        <f ca="1">Settings!O16</f>
        <v>#NAME?</v>
      </c>
      <c r="R12">
        <f t="shared" si="2"/>
        <v>0</v>
      </c>
      <c r="S12" t="e">
        <f t="shared" ca="1" si="3"/>
        <v>#NAME?</v>
      </c>
      <c r="T12" t="e">
        <f t="shared" ca="1" si="4"/>
        <v>#NAME?</v>
      </c>
    </row>
    <row r="17" spans="4:4">
      <c r="D17" t="s">
        <v>235</v>
      </c>
    </row>
  </sheetData>
  <mergeCells count="3">
    <mergeCell ref="B2:D2"/>
    <mergeCell ref="E5:I5"/>
    <mergeCell ref="J5:N5"/>
  </mergeCells>
  <pageMargins left="0.7" right="0.7" top="0.75" bottom="0.75" header="0.3" footer="0.3"/>
  <pageSetup orientation="portrait" horizontalDpi="4294967292" verticalDpi="4294967292"/>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dimension ref="B2:AE17"/>
  <sheetViews>
    <sheetView topLeftCell="C1" workbookViewId="0">
      <selection activeCell="U17" sqref="U17"/>
    </sheetView>
  </sheetViews>
  <sheetFormatPr defaultColWidth="8.796875" defaultRowHeight="15.6"/>
  <cols>
    <col min="2" max="2" width="17.69921875" customWidth="1"/>
    <col min="7" max="7" width="10.5" bestFit="1" customWidth="1"/>
    <col min="11" max="11" width="11.796875" bestFit="1" customWidth="1"/>
    <col min="12" max="12" width="12.5" bestFit="1" customWidth="1"/>
    <col min="13" max="13" width="10.5" bestFit="1" customWidth="1"/>
    <col min="15" max="15" width="1.69921875" customWidth="1"/>
    <col min="24" max="25" width="14.69921875" customWidth="1"/>
    <col min="29" max="29" width="10.69921875" customWidth="1"/>
    <col min="30" max="30" width="20.296875" customWidth="1"/>
  </cols>
  <sheetData>
    <row r="2" spans="2:31">
      <c r="B2" s="143" t="s">
        <v>0</v>
      </c>
      <c r="C2" s="143"/>
      <c r="D2" s="143"/>
      <c r="H2" t="s">
        <v>5</v>
      </c>
      <c r="J2" t="s">
        <v>93</v>
      </c>
      <c r="K2" t="e">
        <f ca="1">Settings!O3</f>
        <v>#NAME?</v>
      </c>
    </row>
    <row r="3" spans="2:31">
      <c r="B3" s="2" t="s">
        <v>3</v>
      </c>
      <c r="C3" s="2" t="s">
        <v>4</v>
      </c>
      <c r="D3" s="2" t="s">
        <v>5</v>
      </c>
      <c r="H3" t="s">
        <v>213</v>
      </c>
      <c r="J3" t="s">
        <v>92</v>
      </c>
      <c r="K3" t="e">
        <f ca="1">Settings!O4</f>
        <v>#NAME?</v>
      </c>
    </row>
    <row r="4" spans="2:31">
      <c r="B4" s="18" t="str">
        <f>Settings!A3</f>
        <v>Feed FR</v>
      </c>
      <c r="C4" s="109">
        <f>Settings!B3</f>
        <v>100</v>
      </c>
      <c r="D4" s="109" t="str">
        <f>Settings!C3</f>
        <v>mol/s</v>
      </c>
    </row>
    <row r="5" spans="2:31">
      <c r="B5" s="18" t="s">
        <v>96</v>
      </c>
      <c r="C5" s="109">
        <v>320</v>
      </c>
      <c r="D5" s="109" t="str">
        <f>Settings!C4</f>
        <v>K</v>
      </c>
      <c r="E5" s="120" t="s">
        <v>215</v>
      </c>
      <c r="F5" s="120"/>
      <c r="G5" s="120"/>
      <c r="H5" s="120"/>
      <c r="I5" s="120"/>
      <c r="J5" s="120" t="s">
        <v>216</v>
      </c>
      <c r="K5" s="120"/>
      <c r="L5" s="120"/>
      <c r="M5" s="120"/>
      <c r="N5" s="120"/>
    </row>
    <row r="6" spans="2:31">
      <c r="B6" s="18" t="str">
        <f>Settings!A5</f>
        <v>Pressure tank</v>
      </c>
      <c r="C6" s="109">
        <f>Settings!B5</f>
        <v>101</v>
      </c>
      <c r="D6" s="109" t="str">
        <f>Settings!C5</f>
        <v>kPa</v>
      </c>
      <c r="E6" s="64" t="s">
        <v>217</v>
      </c>
      <c r="F6" s="64" t="s">
        <v>218</v>
      </c>
      <c r="G6" s="64" t="s">
        <v>219</v>
      </c>
      <c r="H6" s="64" t="s">
        <v>220</v>
      </c>
      <c r="I6" s="106" t="s">
        <v>221</v>
      </c>
      <c r="J6" s="118" t="s">
        <v>217</v>
      </c>
      <c r="K6" s="64" t="s">
        <v>218</v>
      </c>
      <c r="L6" s="64" t="s">
        <v>219</v>
      </c>
      <c r="M6" s="64" t="s">
        <v>220</v>
      </c>
      <c r="N6" s="106" t="s">
        <v>222</v>
      </c>
      <c r="P6" s="107" t="s">
        <v>90</v>
      </c>
      <c r="Q6" s="107" t="s">
        <v>91</v>
      </c>
      <c r="R6" s="107" t="s">
        <v>223</v>
      </c>
      <c r="S6" s="107" t="s">
        <v>224</v>
      </c>
      <c r="T6" s="107" t="s">
        <v>225</v>
      </c>
      <c r="U6" s="107" t="s">
        <v>226</v>
      </c>
      <c r="V6" s="107" t="s">
        <v>227</v>
      </c>
      <c r="W6" s="107" t="s">
        <v>228</v>
      </c>
      <c r="X6" s="107" t="s">
        <v>229</v>
      </c>
      <c r="Y6" s="107" t="s">
        <v>230</v>
      </c>
      <c r="Z6" s="107" t="s">
        <v>231</v>
      </c>
      <c r="AA6" s="107" t="s">
        <v>232</v>
      </c>
      <c r="AB6" s="107" t="s">
        <v>233</v>
      </c>
      <c r="AC6" s="107" t="s">
        <v>234</v>
      </c>
      <c r="AD6" s="107" t="s">
        <v>236</v>
      </c>
      <c r="AE6" s="107" t="s">
        <v>237</v>
      </c>
    </row>
    <row r="7" spans="2:31">
      <c r="B7" s="18" t="str">
        <f>Settings!A6</f>
        <v xml:space="preserve">MF Ethane </v>
      </c>
      <c r="C7" s="109">
        <f>Settings!B6</f>
        <v>0.2</v>
      </c>
      <c r="D7" s="109" t="str">
        <f>Settings!C6</f>
        <v>-</v>
      </c>
      <c r="E7" s="109">
        <v>0</v>
      </c>
      <c r="F7" s="109">
        <v>0</v>
      </c>
      <c r="G7" s="109">
        <v>0</v>
      </c>
      <c r="H7" s="109">
        <v>0</v>
      </c>
      <c r="I7" s="112">
        <f>E7+(F7*$AD$7)+(G7*$AD$7^2)+(H7*$AD$7^3)</f>
        <v>0</v>
      </c>
      <c r="J7" s="97">
        <f>0.04937</f>
        <v>4.9369999999999997E-2</v>
      </c>
      <c r="K7" s="1">
        <f>0.0001392</f>
        <v>1.392E-4</v>
      </c>
      <c r="L7" s="1">
        <f>-0.00000005816</f>
        <v>-5.8159999999999999E-8</v>
      </c>
      <c r="M7" s="1">
        <f>0.00000000000728</f>
        <v>7.2799999999999997E-12</v>
      </c>
      <c r="N7" s="26">
        <f>J7+(K7*$AD$7)+(L7*$AD$7^2)+(M7*$AD$7^3)</f>
        <v>0.10323712622212071</v>
      </c>
      <c r="P7" t="e">
        <f ca="1">Settings!O5</f>
        <v>#NAME?</v>
      </c>
      <c r="Q7" t="e">
        <f ca="1">Settings!O11</f>
        <v>#NAME?</v>
      </c>
      <c r="R7">
        <f>C7*I7</f>
        <v>0</v>
      </c>
      <c r="S7" t="e">
        <f ca="1">P7*I7</f>
        <v>#NAME?</v>
      </c>
      <c r="T7" t="e">
        <f ca="1">Q7*N7</f>
        <v>#NAME?</v>
      </c>
      <c r="U7">
        <f>SUM(R7:R12)</f>
        <v>0.12346379011024612</v>
      </c>
      <c r="V7" t="e">
        <f ca="1">SUM(S7:S12)</f>
        <v>#NAME?</v>
      </c>
      <c r="W7" t="e">
        <f ca="1">SUM(T7:T12)</f>
        <v>#NAME?</v>
      </c>
      <c r="X7">
        <f>$C$5-298.15</f>
        <v>21.850000000000023</v>
      </c>
      <c r="Y7">
        <f>$AD$7-298.15</f>
        <v>177.85492342314677</v>
      </c>
      <c r="Z7">
        <f>$C$4*U7*X7</f>
        <v>269.76838139088807</v>
      </c>
      <c r="AA7" t="e">
        <f ca="1">$K$3*V7*Y7</f>
        <v>#NAME?</v>
      </c>
      <c r="AB7" t="e">
        <f ca="1">$K$2*W7*Y7</f>
        <v>#NAME?</v>
      </c>
      <c r="AC7">
        <v>0</v>
      </c>
      <c r="AD7">
        <v>476.00492342314675</v>
      </c>
      <c r="AE7" t="e">
        <f ca="1">Z7-AA7-AB7</f>
        <v>#NAME?</v>
      </c>
    </row>
    <row r="8" spans="2:31">
      <c r="B8" s="18" t="str">
        <f>Settings!A7</f>
        <v>MF Pentane</v>
      </c>
      <c r="C8" s="109">
        <f>Settings!B7</f>
        <v>0.2</v>
      </c>
      <c r="D8" s="109" t="str">
        <f>Settings!C7</f>
        <v>-</v>
      </c>
      <c r="E8" s="109">
        <f>0.1554</f>
        <v>0.15540000000000001</v>
      </c>
      <c r="F8" s="109">
        <f>0.0004368</f>
        <v>4.3679999999999999E-4</v>
      </c>
      <c r="G8" s="109">
        <v>0</v>
      </c>
      <c r="H8" s="109">
        <v>0</v>
      </c>
      <c r="I8" s="112">
        <f t="shared" ref="I8:I12" si="0">E8+(F8*$AD$7)+(G8*$AD$7^2)+(H8*$AD$7^3)</f>
        <v>0.36331895055123054</v>
      </c>
      <c r="J8" s="97">
        <f>0.1148</f>
        <v>0.1148</v>
      </c>
      <c r="K8" s="1">
        <f>0.0003409</f>
        <v>3.4089999999999999E-4</v>
      </c>
      <c r="L8" s="105">
        <v>-1.899E-7</v>
      </c>
      <c r="M8" s="1">
        <f>0.00000000004226</f>
        <v>4.2259999999999998E-11</v>
      </c>
      <c r="N8" s="26">
        <f t="shared" ref="N8:N12" si="1">J8+(K8*$AD$7)+(L8*$AD$7^2)+(M8*$AD$7^3)</f>
        <v>0.23860029577633438</v>
      </c>
      <c r="P8" t="e">
        <f ca="1">Settings!O6</f>
        <v>#NAME?</v>
      </c>
      <c r="Q8" t="e">
        <f ca="1">Settings!O12</f>
        <v>#NAME?</v>
      </c>
      <c r="R8">
        <f t="shared" ref="R8:R12" si="2">C8*I8</f>
        <v>7.266379011024611E-2</v>
      </c>
      <c r="S8" t="e">
        <f t="shared" ref="S8:S12" ca="1" si="3">P8*I8</f>
        <v>#NAME?</v>
      </c>
      <c r="T8" t="e">
        <f t="shared" ref="T8:T12" ca="1" si="4">Q8*N8</f>
        <v>#NAME?</v>
      </c>
    </row>
    <row r="9" spans="2:31">
      <c r="B9" s="18" t="str">
        <f>Settings!A8</f>
        <v>MF Hexane</v>
      </c>
      <c r="C9" s="109">
        <f>Settings!B8</f>
        <v>0.2</v>
      </c>
      <c r="D9" s="109" t="str">
        <f>Settings!C8</f>
        <v>-</v>
      </c>
      <c r="E9" s="109">
        <f>0.2163</f>
        <v>0.21629999999999999</v>
      </c>
      <c r="F9" s="109">
        <v>0</v>
      </c>
      <c r="G9" s="109">
        <v>0</v>
      </c>
      <c r="H9" s="109">
        <v>0</v>
      </c>
      <c r="I9" s="112">
        <f t="shared" si="0"/>
        <v>0.21629999999999999</v>
      </c>
      <c r="J9" s="97">
        <f>0.13744</f>
        <v>0.13744000000000001</v>
      </c>
      <c r="K9" s="1">
        <f>0.0004085</f>
        <v>4.0850000000000001E-4</v>
      </c>
      <c r="L9" s="1">
        <f>-0.0000002392</f>
        <v>-2.3920000000000002E-7</v>
      </c>
      <c r="M9" s="1">
        <f>0.00000000005766</f>
        <v>5.7659999999999998E-11</v>
      </c>
      <c r="N9" s="26">
        <f t="shared" si="1"/>
        <v>0.28390874497296847</v>
      </c>
      <c r="P9" t="e">
        <f ca="1">Settings!O7</f>
        <v>#NAME?</v>
      </c>
      <c r="Q9" t="e">
        <f ca="1">Settings!O13</f>
        <v>#NAME?</v>
      </c>
      <c r="R9">
        <f t="shared" si="2"/>
        <v>4.326E-2</v>
      </c>
      <c r="S9" t="e">
        <f t="shared" ca="1" si="3"/>
        <v>#NAME?</v>
      </c>
      <c r="T9" t="e">
        <f t="shared" ca="1" si="4"/>
        <v>#NAME?</v>
      </c>
    </row>
    <row r="10" spans="2:31">
      <c r="B10" s="18" t="str">
        <f>Settings!A9</f>
        <v>MF Cyclohexane</v>
      </c>
      <c r="C10" s="109">
        <f>Settings!B9</f>
        <v>0.2</v>
      </c>
      <c r="D10" s="109" t="str">
        <f>Settings!C9</f>
        <v>-</v>
      </c>
      <c r="E10" s="109">
        <v>0</v>
      </c>
      <c r="F10" s="109">
        <v>0</v>
      </c>
      <c r="G10" s="109">
        <v>0</v>
      </c>
      <c r="H10" s="109">
        <v>0</v>
      </c>
      <c r="I10" s="112">
        <f t="shared" si="0"/>
        <v>0</v>
      </c>
      <c r="J10" s="97">
        <f>0.09414</f>
        <v>9.4140000000000001E-2</v>
      </c>
      <c r="K10" s="1">
        <f>0.0004962</f>
        <v>4.9620000000000003E-4</v>
      </c>
      <c r="L10" s="1">
        <f>-0.000000319</f>
        <v>-3.1899999999999998E-7</v>
      </c>
      <c r="M10" s="1">
        <f>0.00000000008063</f>
        <v>8.0629999999999997E-11</v>
      </c>
      <c r="N10" s="26">
        <f t="shared" si="1"/>
        <v>0.26675063333941151</v>
      </c>
      <c r="P10" t="e">
        <f ca="1">Settings!O8</f>
        <v>#NAME?</v>
      </c>
      <c r="Q10" t="e">
        <f ca="1">Settings!O14</f>
        <v>#NAME?</v>
      </c>
      <c r="R10">
        <f t="shared" si="2"/>
        <v>0</v>
      </c>
      <c r="S10" t="e">
        <f t="shared" ca="1" si="3"/>
        <v>#NAME?</v>
      </c>
      <c r="T10" t="e">
        <f t="shared" ca="1" si="4"/>
        <v>#NAME?</v>
      </c>
    </row>
    <row r="11" spans="2:31">
      <c r="B11" s="18" t="str">
        <f>Settings!A10</f>
        <v>MF Water</v>
      </c>
      <c r="C11" s="109">
        <f>Settings!B10</f>
        <v>0.1</v>
      </c>
      <c r="D11" s="109" t="str">
        <f>Settings!C10</f>
        <v>-</v>
      </c>
      <c r="E11" s="109">
        <f>0.0754</f>
        <v>7.5399999999999995E-2</v>
      </c>
      <c r="F11" s="109">
        <v>0</v>
      </c>
      <c r="G11" s="109">
        <v>0</v>
      </c>
      <c r="H11" s="109">
        <v>0</v>
      </c>
      <c r="I11" s="112">
        <f t="shared" si="0"/>
        <v>7.5399999999999995E-2</v>
      </c>
      <c r="J11" s="97">
        <f>0.03346</f>
        <v>3.3459999999999997E-2</v>
      </c>
      <c r="K11" s="1">
        <f>0.00000688</f>
        <v>6.8800000000000002E-6</v>
      </c>
      <c r="L11" s="1">
        <f>0.000000007604</f>
        <v>7.6039999999999998E-9</v>
      </c>
      <c r="M11" s="1">
        <f>-0.000000000003593</f>
        <v>-3.5930000000000001E-12</v>
      </c>
      <c r="N11" s="26">
        <f t="shared" si="1"/>
        <v>3.8070315711250018E-2</v>
      </c>
      <c r="P11" t="e">
        <f ca="1">Settings!O9</f>
        <v>#NAME?</v>
      </c>
      <c r="Q11" t="e">
        <f ca="1">Settings!O15</f>
        <v>#NAME?</v>
      </c>
      <c r="R11">
        <f t="shared" si="2"/>
        <v>7.5399999999999998E-3</v>
      </c>
      <c r="S11" t="e">
        <f t="shared" ca="1" si="3"/>
        <v>#NAME?</v>
      </c>
      <c r="T11" t="e">
        <f t="shared" ca="1" si="4"/>
        <v>#NAME?</v>
      </c>
    </row>
    <row r="12" spans="2:31">
      <c r="B12" s="18" t="str">
        <f>Settings!A11</f>
        <v>MF Nitrogen (NC)</v>
      </c>
      <c r="C12" s="109">
        <f>Settings!B11</f>
        <v>9.9999999999999978E-2</v>
      </c>
      <c r="D12" s="109" t="str">
        <f>Settings!C11</f>
        <v>-</v>
      </c>
      <c r="E12" s="109">
        <v>0</v>
      </c>
      <c r="F12" s="109">
        <v>0</v>
      </c>
      <c r="G12" s="109">
        <v>0</v>
      </c>
      <c r="H12" s="109">
        <v>0</v>
      </c>
      <c r="I12" s="112">
        <f t="shared" si="0"/>
        <v>0</v>
      </c>
      <c r="J12" s="97">
        <f>0.029</f>
        <v>2.9000000000000001E-2</v>
      </c>
      <c r="K12" s="1">
        <f>0.000002199</f>
        <v>2.199E-6</v>
      </c>
      <c r="L12" s="1">
        <f>0.000000005723</f>
        <v>5.7230000000000002E-9</v>
      </c>
      <c r="M12" s="1">
        <f>-0.000000000002871</f>
        <v>-2.8710000000000002E-12</v>
      </c>
      <c r="N12" s="26">
        <f t="shared" si="1"/>
        <v>3.10338086355617E-2</v>
      </c>
      <c r="P12" t="e">
        <f ca="1">Settings!O10</f>
        <v>#NAME?</v>
      </c>
      <c r="Q12" t="e">
        <f ca="1">Settings!O16</f>
        <v>#NAME?</v>
      </c>
      <c r="R12">
        <f t="shared" si="2"/>
        <v>0</v>
      </c>
      <c r="S12" t="e">
        <f t="shared" ca="1" si="3"/>
        <v>#NAME?</v>
      </c>
      <c r="T12" t="e">
        <f t="shared" ca="1" si="4"/>
        <v>#NAME?</v>
      </c>
    </row>
    <row r="17" spans="4:4">
      <c r="D17" t="s">
        <v>235</v>
      </c>
    </row>
  </sheetData>
  <mergeCells count="3">
    <mergeCell ref="B2:D2"/>
    <mergeCell ref="E5:I5"/>
    <mergeCell ref="J5:N5"/>
  </mergeCells>
  <pageMargins left="0.7" right="0.7" top="0.75" bottom="0.75" header="0.3" footer="0.3"/>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dimension ref="B2:AE13"/>
  <sheetViews>
    <sheetView workbookViewId="0">
      <selection activeCell="F28" sqref="F28"/>
    </sheetView>
  </sheetViews>
  <sheetFormatPr defaultColWidth="8.796875" defaultRowHeight="15.6"/>
  <cols>
    <col min="2" max="2" width="17.69921875" customWidth="1"/>
    <col min="7" max="7" width="10.5" bestFit="1" customWidth="1"/>
    <col min="8" max="8" width="12" bestFit="1" customWidth="1"/>
    <col min="11" max="11" width="11.796875" bestFit="1" customWidth="1"/>
    <col min="12" max="12" width="12.5" bestFit="1" customWidth="1"/>
    <col min="13" max="13" width="10.5" bestFit="1" customWidth="1"/>
    <col min="15" max="15" width="1.69921875" customWidth="1"/>
    <col min="24" max="25" width="14.69921875" customWidth="1"/>
    <col min="29" max="29" width="10.69921875" customWidth="1"/>
    <col min="30" max="30" width="27" customWidth="1"/>
    <col min="31" max="31" width="18.5" customWidth="1"/>
  </cols>
  <sheetData>
    <row r="2" spans="2:31">
      <c r="B2" s="143" t="s">
        <v>0</v>
      </c>
      <c r="C2" s="143"/>
      <c r="D2" s="143"/>
      <c r="H2" t="s">
        <v>5</v>
      </c>
      <c r="J2" t="s">
        <v>93</v>
      </c>
      <c r="K2" t="e">
        <f ca="1">Settings!O3</f>
        <v>#NAME?</v>
      </c>
    </row>
    <row r="3" spans="2:31">
      <c r="B3" s="2" t="s">
        <v>3</v>
      </c>
      <c r="C3" s="2" t="s">
        <v>4</v>
      </c>
      <c r="D3" s="2" t="s">
        <v>5</v>
      </c>
      <c r="H3" t="s">
        <v>213</v>
      </c>
      <c r="J3" t="s">
        <v>92</v>
      </c>
      <c r="K3" t="e">
        <f ca="1">Settings!O4</f>
        <v>#NAME?</v>
      </c>
    </row>
    <row r="4" spans="2:31">
      <c r="B4" s="18" t="str">
        <f>Settings!A3</f>
        <v>Feed FR</v>
      </c>
      <c r="C4" s="18">
        <f>Settings!B3</f>
        <v>100</v>
      </c>
      <c r="D4" s="18" t="str">
        <f>Settings!C3</f>
        <v>mol/s</v>
      </c>
    </row>
    <row r="5" spans="2:31">
      <c r="B5" s="18" t="str">
        <f>Settings!A4</f>
        <v>Operating Temp.</v>
      </c>
      <c r="C5" s="18">
        <f>Settings!B4</f>
        <v>320</v>
      </c>
      <c r="D5" s="18" t="str">
        <f>Settings!C4</f>
        <v>K</v>
      </c>
      <c r="E5" s="120" t="s">
        <v>215</v>
      </c>
      <c r="F5" s="120"/>
      <c r="G5" s="120"/>
      <c r="H5" s="120"/>
      <c r="I5" s="120"/>
      <c r="J5" s="120" t="s">
        <v>216</v>
      </c>
      <c r="K5" s="120"/>
      <c r="L5" s="120"/>
      <c r="M5" s="120"/>
      <c r="N5" s="120"/>
      <c r="AD5" t="s">
        <v>298</v>
      </c>
    </row>
    <row r="6" spans="2:31">
      <c r="B6" s="18" t="str">
        <f>Settings!A5</f>
        <v>Pressure tank</v>
      </c>
      <c r="C6" s="18">
        <f>Settings!B5</f>
        <v>101</v>
      </c>
      <c r="D6" s="18" t="str">
        <f>Settings!C5</f>
        <v>kPa</v>
      </c>
      <c r="E6" s="64" t="s">
        <v>217</v>
      </c>
      <c r="F6" s="64" t="s">
        <v>218</v>
      </c>
      <c r="G6" s="64" t="s">
        <v>219</v>
      </c>
      <c r="H6" s="64" t="s">
        <v>220</v>
      </c>
      <c r="I6" s="106" t="s">
        <v>221</v>
      </c>
      <c r="J6" s="118" t="s">
        <v>217</v>
      </c>
      <c r="K6" s="64" t="s">
        <v>218</v>
      </c>
      <c r="L6" s="64" t="s">
        <v>219</v>
      </c>
      <c r="M6" s="64" t="s">
        <v>220</v>
      </c>
      <c r="N6" s="106" t="s">
        <v>222</v>
      </c>
      <c r="P6" s="107" t="s">
        <v>90</v>
      </c>
      <c r="Q6" s="107" t="s">
        <v>91</v>
      </c>
      <c r="R6" s="107" t="s">
        <v>223</v>
      </c>
      <c r="S6" s="107" t="s">
        <v>224</v>
      </c>
      <c r="T6" s="107" t="s">
        <v>225</v>
      </c>
      <c r="U6" s="107" t="s">
        <v>226</v>
      </c>
      <c r="V6" s="107" t="s">
        <v>227</v>
      </c>
      <c r="W6" s="107" t="s">
        <v>228</v>
      </c>
      <c r="X6" s="107" t="s">
        <v>229</v>
      </c>
      <c r="Y6" s="107" t="s">
        <v>230</v>
      </c>
      <c r="Z6" s="107" t="s">
        <v>231</v>
      </c>
      <c r="AA6" s="107" t="s">
        <v>232</v>
      </c>
      <c r="AB6" s="107" t="s">
        <v>233</v>
      </c>
      <c r="AC6" s="107" t="s">
        <v>234</v>
      </c>
      <c r="AD6" s="107" t="s">
        <v>238</v>
      </c>
      <c r="AE6" s="107" t="s">
        <v>237</v>
      </c>
    </row>
    <row r="7" spans="2:31">
      <c r="B7" s="18" t="str">
        <f>Settings!A6</f>
        <v xml:space="preserve">MF Ethane </v>
      </c>
      <c r="C7" s="18">
        <f>Settings!B6</f>
        <v>0.2</v>
      </c>
      <c r="D7" s="18" t="str">
        <f>Settings!C6</f>
        <v>-</v>
      </c>
      <c r="E7" s="109">
        <v>0</v>
      </c>
      <c r="F7" s="109">
        <v>0</v>
      </c>
      <c r="G7" s="109">
        <v>0</v>
      </c>
      <c r="H7" s="109">
        <v>0</v>
      </c>
      <c r="I7" s="112">
        <f>E7+(F7*$C$5)+(G7*$C$5^2)+(H7*$C$5^3)</f>
        <v>0</v>
      </c>
      <c r="J7" s="97">
        <f>0.04937</f>
        <v>4.9369999999999997E-2</v>
      </c>
      <c r="K7" s="1">
        <f>0.0001392</f>
        <v>1.392E-4</v>
      </c>
      <c r="L7" s="1">
        <f>-0.00000005816</f>
        <v>-5.8159999999999999E-8</v>
      </c>
      <c r="M7" s="1">
        <f>0.00000000000728</f>
        <v>7.2799999999999997E-12</v>
      </c>
      <c r="N7" s="26">
        <f>J7+(K7*$C$5)+(L7*$C$5^2)+(M7*$C$5^3)</f>
        <v>8.8196967040000004E-2</v>
      </c>
      <c r="P7" t="e">
        <f ca="1">Settings!O5</f>
        <v>#NAME?</v>
      </c>
      <c r="Q7" t="e">
        <f ca="1">Settings!O11</f>
        <v>#NAME?</v>
      </c>
      <c r="R7">
        <f>C7*I7</f>
        <v>0</v>
      </c>
      <c r="S7" t="e">
        <f ca="1">P7*I7</f>
        <v>#NAME?</v>
      </c>
      <c r="T7" t="e">
        <f ca="1">Q7*N7</f>
        <v>#NAME?</v>
      </c>
      <c r="U7">
        <f>SUM(R7:R12)</f>
        <v>0.10983520000000001</v>
      </c>
      <c r="V7" t="e">
        <f ca="1">SUM(S7:S12)</f>
        <v>#NAME?</v>
      </c>
      <c r="W7" t="e">
        <f ca="1">SUM(T7:T12)</f>
        <v>#NAME?</v>
      </c>
      <c r="X7">
        <f>$AD$7-298.15</f>
        <v>145.85000000000002</v>
      </c>
      <c r="Y7">
        <f>$C$5-298.15</f>
        <v>21.850000000000023</v>
      </c>
      <c r="Z7">
        <f>$C$4*U7*X7</f>
        <v>1601.9463920000003</v>
      </c>
      <c r="AA7" t="e">
        <f ca="1">$K$3*V7*Y7</f>
        <v>#NAME?</v>
      </c>
      <c r="AB7" t="e">
        <f ca="1">$K$2*W7*Y7</f>
        <v>#NAME?</v>
      </c>
      <c r="AC7">
        <v>0</v>
      </c>
      <c r="AD7">
        <v>444</v>
      </c>
      <c r="AE7" t="e">
        <f ca="1">Z7-AA7-AB7</f>
        <v>#NAME?</v>
      </c>
    </row>
    <row r="8" spans="2:31">
      <c r="B8" s="18" t="str">
        <f>Settings!A7</f>
        <v>MF Pentane</v>
      </c>
      <c r="C8" s="18">
        <f>Settings!B7</f>
        <v>0.2</v>
      </c>
      <c r="D8" s="18" t="str">
        <f>Settings!C7</f>
        <v>-</v>
      </c>
      <c r="E8" s="109">
        <f>0.1554</f>
        <v>0.15540000000000001</v>
      </c>
      <c r="F8" s="109">
        <f>0.0004368</f>
        <v>4.3679999999999999E-4</v>
      </c>
      <c r="G8" s="109">
        <v>0</v>
      </c>
      <c r="H8" s="109">
        <v>0</v>
      </c>
      <c r="I8" s="112">
        <f t="shared" ref="I8:I12" si="0">E8+(F8*$C$5)+(G8*$C$5^2)+(H8*$C$5^3)</f>
        <v>0.29517599999999999</v>
      </c>
      <c r="J8" s="97">
        <f>0.1148</f>
        <v>0.1148</v>
      </c>
      <c r="K8" s="1">
        <f>0.0003409</f>
        <v>3.4089999999999999E-4</v>
      </c>
      <c r="L8" s="105">
        <v>-1.899E-7</v>
      </c>
      <c r="M8" s="1">
        <f>0.00000000004226</f>
        <v>4.2259999999999998E-11</v>
      </c>
      <c r="N8" s="26">
        <f t="shared" ref="N8:N12" si="1">J8+(K8*$C$5)+(L8*$C$5^2)+(M8*$C$5^3)</f>
        <v>0.20582701567999998</v>
      </c>
      <c r="P8" t="e">
        <f ca="1">Settings!O6</f>
        <v>#NAME?</v>
      </c>
      <c r="Q8" t="e">
        <f ca="1">Settings!O12</f>
        <v>#NAME?</v>
      </c>
      <c r="R8">
        <f t="shared" ref="R8:R12" si="2">C8*I8</f>
        <v>5.9035200000000003E-2</v>
      </c>
      <c r="S8" t="e">
        <f t="shared" ref="S8:S12" ca="1" si="3">P8*I8</f>
        <v>#NAME?</v>
      </c>
      <c r="T8" t="e">
        <f t="shared" ref="T8:T12" ca="1" si="4">Q8*N8</f>
        <v>#NAME?</v>
      </c>
    </row>
    <row r="9" spans="2:31">
      <c r="B9" s="18" t="str">
        <f>Settings!A8</f>
        <v>MF Hexane</v>
      </c>
      <c r="C9" s="18">
        <f>Settings!B8</f>
        <v>0.2</v>
      </c>
      <c r="D9" s="18" t="str">
        <f>Settings!C8</f>
        <v>-</v>
      </c>
      <c r="E9" s="109">
        <f>0.2163</f>
        <v>0.21629999999999999</v>
      </c>
      <c r="F9" s="109">
        <v>0</v>
      </c>
      <c r="G9" s="109">
        <v>0</v>
      </c>
      <c r="H9" s="109">
        <v>0</v>
      </c>
      <c r="I9" s="112">
        <f t="shared" si="0"/>
        <v>0.21629999999999999</v>
      </c>
      <c r="J9" s="97">
        <f>0.13744</f>
        <v>0.13744000000000001</v>
      </c>
      <c r="K9" s="1">
        <f>0.0004085</f>
        <v>4.0850000000000001E-4</v>
      </c>
      <c r="L9" s="1">
        <f>-0.0000002392</f>
        <v>-2.3920000000000002E-7</v>
      </c>
      <c r="M9" s="1">
        <f>0.00000000005766</f>
        <v>5.7659999999999998E-11</v>
      </c>
      <c r="N9" s="26">
        <f t="shared" si="1"/>
        <v>0.24555532288000001</v>
      </c>
      <c r="P9" t="e">
        <f ca="1">Settings!O7</f>
        <v>#NAME?</v>
      </c>
      <c r="Q9" t="e">
        <f ca="1">Settings!O13</f>
        <v>#NAME?</v>
      </c>
      <c r="R9">
        <f t="shared" si="2"/>
        <v>4.326E-2</v>
      </c>
      <c r="S9" t="e">
        <f t="shared" ca="1" si="3"/>
        <v>#NAME?</v>
      </c>
      <c r="T9" t="e">
        <f t="shared" ca="1" si="4"/>
        <v>#NAME?</v>
      </c>
    </row>
    <row r="10" spans="2:31">
      <c r="B10" s="18" t="str">
        <f>Settings!A9</f>
        <v>MF Cyclohexane</v>
      </c>
      <c r="C10" s="18">
        <f>Settings!B9</f>
        <v>0.2</v>
      </c>
      <c r="D10" s="18" t="str">
        <f>Settings!C9</f>
        <v>-</v>
      </c>
      <c r="E10" s="109">
        <v>0</v>
      </c>
      <c r="F10" s="109">
        <v>0</v>
      </c>
      <c r="G10" s="109">
        <v>0</v>
      </c>
      <c r="H10" s="109">
        <v>0</v>
      </c>
      <c r="I10" s="112">
        <f t="shared" si="0"/>
        <v>0</v>
      </c>
      <c r="J10" s="97">
        <f>0.09414</f>
        <v>9.4140000000000001E-2</v>
      </c>
      <c r="K10" s="1">
        <f>0.0004962</f>
        <v>4.9620000000000003E-4</v>
      </c>
      <c r="L10" s="1">
        <f>-0.000000319</f>
        <v>-3.1899999999999998E-7</v>
      </c>
      <c r="M10" s="1">
        <f>0.00000000008063</f>
        <v>8.0629999999999997E-11</v>
      </c>
      <c r="N10" s="26">
        <f t="shared" si="1"/>
        <v>0.22290048384000005</v>
      </c>
      <c r="P10" t="e">
        <f ca="1">Settings!O8</f>
        <v>#NAME?</v>
      </c>
      <c r="Q10" t="e">
        <f ca="1">Settings!O14</f>
        <v>#NAME?</v>
      </c>
      <c r="R10">
        <f t="shared" si="2"/>
        <v>0</v>
      </c>
      <c r="S10" t="e">
        <f t="shared" ca="1" si="3"/>
        <v>#NAME?</v>
      </c>
      <c r="T10" t="e">
        <f t="shared" ca="1" si="4"/>
        <v>#NAME?</v>
      </c>
    </row>
    <row r="11" spans="2:31">
      <c r="B11" s="18" t="str">
        <f>Settings!A10</f>
        <v>MF Water</v>
      </c>
      <c r="C11" s="18">
        <f>Settings!B10</f>
        <v>0.1</v>
      </c>
      <c r="D11" s="18" t="str">
        <f>Settings!C10</f>
        <v>-</v>
      </c>
      <c r="E11" s="109">
        <f>0.0754</f>
        <v>7.5399999999999995E-2</v>
      </c>
      <c r="F11" s="109">
        <v>0</v>
      </c>
      <c r="G11" s="109">
        <v>0</v>
      </c>
      <c r="H11" s="109">
        <v>0</v>
      </c>
      <c r="I11" s="112">
        <f t="shared" si="0"/>
        <v>7.5399999999999995E-2</v>
      </c>
      <c r="J11" s="97">
        <f>0.03346</f>
        <v>3.3459999999999997E-2</v>
      </c>
      <c r="K11" s="1">
        <f>0.00000688</f>
        <v>6.8800000000000002E-6</v>
      </c>
      <c r="L11" s="1">
        <f>0.000000007604</f>
        <v>7.6039999999999998E-9</v>
      </c>
      <c r="M11" s="1">
        <f>-0.000000000003593</f>
        <v>-3.5930000000000001E-12</v>
      </c>
      <c r="N11" s="26">
        <f t="shared" si="1"/>
        <v>3.6322514175999993E-2</v>
      </c>
      <c r="P11" t="e">
        <f ca="1">Settings!O9</f>
        <v>#NAME?</v>
      </c>
      <c r="Q11" t="e">
        <f ca="1">Settings!O15</f>
        <v>#NAME?</v>
      </c>
      <c r="R11">
        <f t="shared" si="2"/>
        <v>7.5399999999999998E-3</v>
      </c>
      <c r="S11" t="e">
        <f t="shared" ca="1" si="3"/>
        <v>#NAME?</v>
      </c>
      <c r="T11" t="e">
        <f t="shared" ca="1" si="4"/>
        <v>#NAME?</v>
      </c>
    </row>
    <row r="12" spans="2:31">
      <c r="B12" s="18" t="str">
        <f>Settings!A11</f>
        <v>MF Nitrogen (NC)</v>
      </c>
      <c r="C12" s="18">
        <f>Settings!B11</f>
        <v>9.9999999999999978E-2</v>
      </c>
      <c r="D12" s="18" t="str">
        <f>Settings!C11</f>
        <v>-</v>
      </c>
      <c r="E12" s="109">
        <v>0</v>
      </c>
      <c r="F12" s="109">
        <v>0</v>
      </c>
      <c r="G12" s="109">
        <v>0</v>
      </c>
      <c r="H12" s="109">
        <v>0</v>
      </c>
      <c r="I12" s="112">
        <f t="shared" si="0"/>
        <v>0</v>
      </c>
      <c r="J12" s="97">
        <f>0.029</f>
        <v>2.9000000000000001E-2</v>
      </c>
      <c r="K12" s="1">
        <f>0.000002199</f>
        <v>2.199E-6</v>
      </c>
      <c r="L12" s="1">
        <f>0.000000005723</f>
        <v>5.7230000000000002E-9</v>
      </c>
      <c r="M12" s="1">
        <f>-0.000000000002871</f>
        <v>-2.8710000000000002E-12</v>
      </c>
      <c r="N12" s="26">
        <f t="shared" si="1"/>
        <v>3.0195638272000003E-2</v>
      </c>
      <c r="P12" t="e">
        <f ca="1">Settings!O10</f>
        <v>#NAME?</v>
      </c>
      <c r="Q12" t="e">
        <f ca="1">Settings!O16</f>
        <v>#NAME?</v>
      </c>
      <c r="R12">
        <f t="shared" si="2"/>
        <v>0</v>
      </c>
      <c r="S12" t="e">
        <f t="shared" ca="1" si="3"/>
        <v>#NAME?</v>
      </c>
      <c r="T12" t="e">
        <f t="shared" ca="1" si="4"/>
        <v>#NAME?</v>
      </c>
    </row>
    <row r="13" spans="2:31">
      <c r="B13" s="18"/>
      <c r="C13" s="18"/>
      <c r="D13" s="18"/>
    </row>
  </sheetData>
  <mergeCells count="3">
    <mergeCell ref="B2:D2"/>
    <mergeCell ref="E5:I5"/>
    <mergeCell ref="J5:N5"/>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O34"/>
  <sheetViews>
    <sheetView topLeftCell="I1" workbookViewId="0">
      <selection activeCell="I7" sqref="I7"/>
    </sheetView>
  </sheetViews>
  <sheetFormatPr defaultColWidth="11" defaultRowHeight="15.6"/>
  <cols>
    <col min="1" max="1" width="14.69921875" customWidth="1"/>
    <col min="2" max="2" width="8.69921875" customWidth="1"/>
    <col min="3" max="3" width="8" customWidth="1"/>
    <col min="4" max="4" width="15.5" customWidth="1"/>
    <col min="8" max="8" width="16" customWidth="1"/>
    <col min="11" max="11" width="17.69921875" customWidth="1"/>
    <col min="14" max="14" width="14.69921875" customWidth="1"/>
    <col min="16" max="16" width="11.69921875" bestFit="1" customWidth="1"/>
    <col min="17" max="17" width="17.69921875" customWidth="1"/>
    <col min="19" max="19" width="18.296875" customWidth="1"/>
    <col min="23" max="23" width="13.69921875" customWidth="1"/>
    <col min="24" max="24" width="15.296875" customWidth="1"/>
    <col min="25" max="25" width="12.19921875" bestFit="1" customWidth="1"/>
    <col min="26" max="26" width="11.69921875" bestFit="1" customWidth="1"/>
    <col min="27" max="27" width="12.19921875" bestFit="1" customWidth="1"/>
    <col min="28" max="28" width="12.296875" bestFit="1" customWidth="1"/>
    <col min="30" max="30" width="13.19921875" customWidth="1"/>
    <col min="37" max="37" width="12.796875" bestFit="1" customWidth="1"/>
    <col min="45" max="45" width="12.296875" bestFit="1" customWidth="1"/>
    <col min="46" max="46" width="12.69921875" bestFit="1" customWidth="1"/>
    <col min="48" max="48" width="12.796875" bestFit="1" customWidth="1"/>
    <col min="49" max="49" width="13.69921875" customWidth="1"/>
    <col min="52" max="52" width="11" customWidth="1"/>
    <col min="71" max="72" width="12.296875" bestFit="1" customWidth="1"/>
    <col min="75" max="75" width="14.296875" customWidth="1"/>
    <col min="79" max="79" width="22.69921875" customWidth="1"/>
    <col min="80" max="98" width="0" hidden="1" customWidth="1"/>
    <col min="99" max="100" width="12.296875" hidden="1" customWidth="1"/>
    <col min="101" max="101" width="0" hidden="1" customWidth="1"/>
    <col min="102" max="102" width="12.296875" hidden="1" customWidth="1"/>
    <col min="103" max="106" width="0" hidden="1" customWidth="1"/>
    <col min="107" max="107" width="23.69921875" hidden="1" customWidth="1"/>
    <col min="108" max="134" width="0" hidden="1" customWidth="1"/>
    <col min="135" max="135" width="22.296875" hidden="1" customWidth="1"/>
    <col min="136" max="162" width="0" hidden="1" customWidth="1"/>
    <col min="163" max="163" width="22.69921875" hidden="1" customWidth="1"/>
    <col min="164" max="190" width="0" hidden="1" customWidth="1"/>
    <col min="191" max="191" width="31.69921875" hidden="1" customWidth="1"/>
    <col min="192" max="218" width="0" hidden="1" customWidth="1"/>
    <col min="219" max="219" width="23.19921875" hidden="1" customWidth="1"/>
    <col min="220" max="246" width="0" hidden="1" customWidth="1"/>
    <col min="247" max="247" width="22" hidden="1" customWidth="1"/>
    <col min="275" max="275" width="22.69921875" customWidth="1"/>
  </cols>
  <sheetData>
    <row r="1" spans="1:275">
      <c r="H1" s="151" t="s">
        <v>108</v>
      </c>
      <c r="I1" s="147"/>
      <c r="J1" s="147"/>
      <c r="AY1" s="79"/>
    </row>
    <row r="2" spans="1:275">
      <c r="H2" s="143" t="s">
        <v>0</v>
      </c>
      <c r="I2" s="143"/>
      <c r="J2" s="143"/>
      <c r="AY2" s="79"/>
      <c r="CB2" s="148" t="s">
        <v>109</v>
      </c>
      <c r="CC2" s="148"/>
      <c r="CD2" s="148"/>
      <c r="CE2" s="148"/>
    </row>
    <row r="3" spans="1:275" ht="16.2" thickBot="1">
      <c r="H3" s="2" t="s">
        <v>3</v>
      </c>
      <c r="I3" s="2" t="s">
        <v>4</v>
      </c>
      <c r="J3" s="2" t="s">
        <v>5</v>
      </c>
      <c r="AD3" s="68" t="s">
        <v>110</v>
      </c>
      <c r="AE3" t="b">
        <v>1</v>
      </c>
      <c r="AV3" t="e">
        <f ca="1">AO7-AE7</f>
        <v>#NAME?</v>
      </c>
      <c r="AY3" s="79"/>
      <c r="AZ3" s="174" t="s">
        <v>111</v>
      </c>
      <c r="BA3" s="174"/>
      <c r="BB3" s="174"/>
      <c r="DD3" s="148" t="s">
        <v>112</v>
      </c>
      <c r="DE3" s="148"/>
      <c r="DF3" s="148"/>
      <c r="EF3" s="148" t="s">
        <v>113</v>
      </c>
      <c r="EG3" s="148"/>
      <c r="EH3" s="148"/>
      <c r="FH3" s="148" t="s">
        <v>114</v>
      </c>
      <c r="FI3" s="148"/>
      <c r="FJ3" s="148"/>
      <c r="GJ3" s="148" t="s">
        <v>115</v>
      </c>
      <c r="GK3" s="148"/>
      <c r="GL3" s="148"/>
      <c r="HL3" s="148" t="s">
        <v>116</v>
      </c>
      <c r="HM3" s="148"/>
      <c r="HN3" s="148"/>
      <c r="IN3" s="148" t="s">
        <v>117</v>
      </c>
      <c r="IO3" s="148"/>
      <c r="IP3" s="148"/>
    </row>
    <row r="4" spans="1:275" ht="16.2" thickTop="1">
      <c r="H4" s="1" t="s">
        <v>7</v>
      </c>
      <c r="I4" s="3">
        <v>36000</v>
      </c>
      <c r="J4" s="109" t="s">
        <v>10</v>
      </c>
      <c r="K4" s="154" t="s">
        <v>52</v>
      </c>
      <c r="L4" s="155"/>
      <c r="M4" s="155"/>
      <c r="N4" s="155"/>
      <c r="O4" s="155"/>
      <c r="P4" s="66"/>
      <c r="Q4" s="67"/>
      <c r="V4" s="48"/>
      <c r="W4" s="48"/>
      <c r="X4" s="48"/>
      <c r="Y4" s="48"/>
      <c r="Z4" s="48"/>
      <c r="AA4" s="48"/>
      <c r="AB4" s="48"/>
      <c r="AV4" t="s">
        <v>118</v>
      </c>
      <c r="AW4" t="s">
        <v>118</v>
      </c>
      <c r="AY4" s="79"/>
      <c r="AZ4" s="68"/>
    </row>
    <row r="5" spans="1:275">
      <c r="H5" s="1" t="s">
        <v>11</v>
      </c>
      <c r="I5" s="3">
        <v>298</v>
      </c>
      <c r="J5" s="109" t="s">
        <v>12</v>
      </c>
      <c r="K5" s="156" t="s">
        <v>55</v>
      </c>
      <c r="L5" s="157"/>
      <c r="M5" s="157"/>
      <c r="N5" s="157"/>
      <c r="O5" s="158"/>
      <c r="P5" s="159" t="s">
        <v>79</v>
      </c>
      <c r="Q5" s="160"/>
      <c r="R5" s="160"/>
      <c r="S5" s="160"/>
      <c r="T5" s="160"/>
      <c r="U5" s="161"/>
      <c r="V5" s="62"/>
      <c r="W5" s="62"/>
      <c r="X5" s="62"/>
      <c r="Y5" s="62"/>
      <c r="Z5" s="62"/>
      <c r="AA5" s="63"/>
      <c r="AB5" s="63"/>
      <c r="AC5" s="63"/>
      <c r="AD5" s="62" t="s">
        <v>119</v>
      </c>
      <c r="AE5" s="62"/>
      <c r="AF5" s="62" t="s">
        <v>120</v>
      </c>
      <c r="AG5" s="62"/>
      <c r="AH5" s="169" t="s">
        <v>121</v>
      </c>
      <c r="AI5" s="169"/>
      <c r="AJ5" s="169"/>
      <c r="AK5" s="169"/>
      <c r="AL5" s="169"/>
      <c r="AM5" s="169"/>
      <c r="AN5" s="169"/>
      <c r="AO5" s="166"/>
      <c r="AP5" s="83" t="s">
        <v>92</v>
      </c>
      <c r="AQ5" s="1" t="s">
        <v>93</v>
      </c>
      <c r="AR5" s="1"/>
      <c r="AS5" s="1"/>
      <c r="AT5" s="1"/>
      <c r="AU5" s="1"/>
      <c r="AV5" s="1" t="e">
        <f ca="1">IF(AO7&gt;AE7,TRUE,FALSE)</f>
        <v>#NAME?</v>
      </c>
      <c r="AW5" s="1" t="e">
        <f ca="1">IF(AO10&gt;AG7,TRUE,FALSE)</f>
        <v>#NAME?</v>
      </c>
      <c r="AX5" s="1"/>
      <c r="AY5" s="79"/>
      <c r="BD5" s="62" t="s">
        <v>119</v>
      </c>
      <c r="BE5" s="62"/>
      <c r="BF5" s="62" t="s">
        <v>120</v>
      </c>
      <c r="BG5" s="62"/>
      <c r="BH5" s="152" t="s">
        <v>122</v>
      </c>
      <c r="BI5" s="147"/>
      <c r="BJ5" s="147"/>
      <c r="BK5" s="147"/>
      <c r="BL5" s="147"/>
      <c r="BM5" s="147"/>
      <c r="BN5" s="147"/>
      <c r="BO5" s="153"/>
      <c r="BP5" s="83" t="s">
        <v>92</v>
      </c>
      <c r="BQ5" s="1" t="s">
        <v>93</v>
      </c>
      <c r="BR5" s="1"/>
      <c r="BS5" s="1"/>
      <c r="BT5" s="1"/>
      <c r="BU5" s="1"/>
      <c r="BV5" s="1" t="e">
        <f ca="1">IF(BO7&gt;BE7,TRUE,FALSE)</f>
        <v>#NAME?</v>
      </c>
      <c r="BW5" s="1" t="e">
        <f ca="1">IF(BO10&gt;BG7,TRUE,FALSE)</f>
        <v>#NAME?</v>
      </c>
      <c r="BX5" s="149" t="s">
        <v>123</v>
      </c>
      <c r="BY5" s="150"/>
      <c r="BZ5" s="150"/>
      <c r="CA5" s="150"/>
      <c r="CF5" s="62" t="s">
        <v>119</v>
      </c>
      <c r="CG5" s="62"/>
      <c r="CH5" s="62" t="s">
        <v>120</v>
      </c>
      <c r="CI5" s="62"/>
      <c r="CJ5" s="152" t="s">
        <v>122</v>
      </c>
      <c r="CK5" s="147"/>
      <c r="CL5" s="147"/>
      <c r="CM5" s="147"/>
      <c r="CN5" s="147"/>
      <c r="CO5" s="147"/>
      <c r="CP5" s="147"/>
      <c r="CQ5" s="153"/>
      <c r="CR5" s="83" t="s">
        <v>92</v>
      </c>
      <c r="CS5" s="1" t="s">
        <v>93</v>
      </c>
      <c r="CT5" s="1"/>
      <c r="CU5" s="1"/>
      <c r="CV5" s="1"/>
      <c r="CW5" s="1"/>
      <c r="CX5" s="1" t="e">
        <f ca="1">IF(CQ7&gt;CG7,TRUE,FALSE)</f>
        <v>#NAME?</v>
      </c>
      <c r="CY5" s="1" t="e">
        <f ca="1">IF(CQ10&gt;CI7,TRUE,FALSE)</f>
        <v>#NAME?</v>
      </c>
      <c r="CZ5" s="149" t="s">
        <v>123</v>
      </c>
      <c r="DA5" s="150"/>
      <c r="DB5" s="150"/>
      <c r="DC5" s="150"/>
      <c r="DH5" s="62" t="s">
        <v>119</v>
      </c>
      <c r="DI5" s="62"/>
      <c r="DJ5" s="62" t="s">
        <v>120</v>
      </c>
      <c r="DK5" s="62"/>
      <c r="DL5" s="152" t="s">
        <v>122</v>
      </c>
      <c r="DM5" s="147"/>
      <c r="DN5" s="147"/>
      <c r="DO5" s="147"/>
      <c r="DP5" s="147"/>
      <c r="DQ5" s="147"/>
      <c r="DR5" s="147"/>
      <c r="DS5" s="153"/>
      <c r="DT5" s="83" t="s">
        <v>92</v>
      </c>
      <c r="DU5" s="1" t="s">
        <v>93</v>
      </c>
      <c r="DV5" s="1"/>
      <c r="DW5" s="1"/>
      <c r="DX5" s="1"/>
      <c r="DY5" s="1"/>
      <c r="DZ5" s="1" t="e">
        <f ca="1">IF(DS7&gt;DI7,TRUE,FALSE)</f>
        <v>#NAME?</v>
      </c>
      <c r="EA5" s="1" t="e">
        <f ca="1">IF(DS10&gt;DK7,TRUE,FALSE)</f>
        <v>#NAME?</v>
      </c>
      <c r="EB5" s="149" t="s">
        <v>123</v>
      </c>
      <c r="EC5" s="150"/>
      <c r="ED5" s="150"/>
      <c r="EE5" s="150"/>
      <c r="EJ5" s="62" t="s">
        <v>119</v>
      </c>
      <c r="EK5" s="62"/>
      <c r="EL5" s="62" t="s">
        <v>120</v>
      </c>
      <c r="EM5" s="62"/>
      <c r="EN5" s="152" t="s">
        <v>122</v>
      </c>
      <c r="EO5" s="147"/>
      <c r="EP5" s="147"/>
      <c r="EQ5" s="147"/>
      <c r="ER5" s="147"/>
      <c r="ES5" s="147"/>
      <c r="ET5" s="147"/>
      <c r="EU5" s="153"/>
      <c r="EV5" s="83" t="s">
        <v>92</v>
      </c>
      <c r="EW5" s="1" t="s">
        <v>93</v>
      </c>
      <c r="EX5" s="1"/>
      <c r="EY5" s="1"/>
      <c r="EZ5" s="1"/>
      <c r="FA5" s="1"/>
      <c r="FB5" s="1" t="e">
        <f ca="1">IF(EU7&gt;EK7,TRUE,FALSE)</f>
        <v>#NAME?</v>
      </c>
      <c r="FC5" s="1" t="e">
        <f ca="1">IF(EU10&gt;EM7,TRUE,FALSE)</f>
        <v>#NAME?</v>
      </c>
      <c r="FD5" s="149" t="s">
        <v>123</v>
      </c>
      <c r="FE5" s="150"/>
      <c r="FF5" s="150"/>
      <c r="FG5" s="150"/>
      <c r="FL5" s="62" t="s">
        <v>119</v>
      </c>
      <c r="FM5" s="62"/>
      <c r="FN5" s="62" t="s">
        <v>120</v>
      </c>
      <c r="FO5" s="62"/>
      <c r="FP5" s="152" t="s">
        <v>122</v>
      </c>
      <c r="FQ5" s="147"/>
      <c r="FR5" s="147"/>
      <c r="FS5" s="147"/>
      <c r="FT5" s="147"/>
      <c r="FU5" s="147"/>
      <c r="FV5" s="147"/>
      <c r="FW5" s="153"/>
      <c r="FX5" s="83" t="s">
        <v>92</v>
      </c>
      <c r="FY5" s="1" t="s">
        <v>93</v>
      </c>
      <c r="FZ5" s="1"/>
      <c r="GA5" s="1"/>
      <c r="GB5" s="1"/>
      <c r="GC5" s="1"/>
      <c r="GD5" s="1" t="e">
        <f ca="1">IF(FW7&gt;FM7,TRUE,FALSE)</f>
        <v>#NAME?</v>
      </c>
      <c r="GE5" s="1" t="e">
        <f ca="1">IF(FW10&gt;FO7,TRUE,FALSE)</f>
        <v>#NAME?</v>
      </c>
      <c r="GF5" s="149" t="s">
        <v>123</v>
      </c>
      <c r="GG5" s="150"/>
      <c r="GH5" s="150"/>
      <c r="GI5" s="150"/>
      <c r="GN5" s="62" t="s">
        <v>119</v>
      </c>
      <c r="GO5" s="62"/>
      <c r="GP5" s="62" t="s">
        <v>120</v>
      </c>
      <c r="GQ5" s="62"/>
      <c r="GR5" s="152" t="s">
        <v>122</v>
      </c>
      <c r="GS5" s="147"/>
      <c r="GT5" s="147"/>
      <c r="GU5" s="147"/>
      <c r="GV5" s="147"/>
      <c r="GW5" s="147"/>
      <c r="GX5" s="147"/>
      <c r="GY5" s="153"/>
      <c r="GZ5" s="83" t="s">
        <v>92</v>
      </c>
      <c r="HA5" s="1" t="s">
        <v>93</v>
      </c>
      <c r="HB5" s="1"/>
      <c r="HC5" s="1"/>
      <c r="HD5" s="1"/>
      <c r="HE5" s="1"/>
      <c r="HF5" s="1" t="e">
        <f ca="1">IF(GY7&gt;GO7,TRUE,FALSE)</f>
        <v>#NAME?</v>
      </c>
      <c r="HG5" s="1" t="e">
        <f ca="1">IF(GY10&gt;GQ7,TRUE,FALSE)</f>
        <v>#NAME?</v>
      </c>
      <c r="HH5" s="149" t="s">
        <v>123</v>
      </c>
      <c r="HI5" s="150"/>
      <c r="HJ5" s="150"/>
      <c r="HK5" s="150"/>
      <c r="HP5" s="62" t="s">
        <v>119</v>
      </c>
      <c r="HQ5" s="62"/>
      <c r="HR5" s="62" t="s">
        <v>120</v>
      </c>
      <c r="HS5" s="62"/>
      <c r="HT5" s="152" t="s">
        <v>122</v>
      </c>
      <c r="HU5" s="147"/>
      <c r="HV5" s="147"/>
      <c r="HW5" s="147"/>
      <c r="HX5" s="147"/>
      <c r="HY5" s="147"/>
      <c r="HZ5" s="147"/>
      <c r="IA5" s="153"/>
      <c r="IB5" s="83" t="s">
        <v>92</v>
      </c>
      <c r="IC5" s="1" t="s">
        <v>93</v>
      </c>
      <c r="ID5" s="1"/>
      <c r="IE5" s="1"/>
      <c r="IF5" s="1"/>
      <c r="IG5" s="1"/>
      <c r="IH5" s="1" t="e">
        <f ca="1">IF(IA7&gt;HQ7,TRUE,FALSE)</f>
        <v>#NAME?</v>
      </c>
      <c r="II5" s="1" t="e">
        <f ca="1">IF(IA10&gt;HS7,TRUE,FALSE)</f>
        <v>#NAME?</v>
      </c>
      <c r="IJ5" s="149" t="s">
        <v>123</v>
      </c>
      <c r="IK5" s="150"/>
      <c r="IL5" s="150"/>
      <c r="IM5" s="150"/>
      <c r="IP5">
        <f ca="1">SUM(IP7:IP12)</f>
        <v>0</v>
      </c>
      <c r="IQ5">
        <f ca="1">SUM(IQ7:IQ12)</f>
        <v>0</v>
      </c>
      <c r="IR5" s="62" t="s">
        <v>119</v>
      </c>
      <c r="IS5" s="62"/>
      <c r="IT5" s="62" t="s">
        <v>120</v>
      </c>
      <c r="IU5" s="62"/>
      <c r="IV5" s="152" t="s">
        <v>122</v>
      </c>
      <c r="IW5" s="147"/>
      <c r="IX5" s="147"/>
      <c r="IY5" s="147"/>
      <c r="IZ5" s="147"/>
      <c r="JA5" s="147"/>
      <c r="JB5" s="147"/>
      <c r="JC5" s="153"/>
      <c r="JD5" s="83" t="s">
        <v>92</v>
      </c>
      <c r="JE5" s="1" t="s">
        <v>93</v>
      </c>
      <c r="JF5" s="1"/>
      <c r="JG5" s="1"/>
      <c r="JH5" s="1"/>
      <c r="JI5" s="1"/>
      <c r="JJ5" s="1" t="e">
        <f ca="1">IF(JC7&gt;IS7,TRUE,FALSE)</f>
        <v>#NAME?</v>
      </c>
      <c r="JK5" s="1" t="e">
        <f ca="1">IF(JC10&gt;IU7,TRUE,FALSE)</f>
        <v>#NAME?</v>
      </c>
      <c r="JL5" s="149" t="s">
        <v>123</v>
      </c>
      <c r="JM5" s="150"/>
      <c r="JN5" s="150"/>
      <c r="JO5" s="150"/>
    </row>
    <row r="6" spans="1:275">
      <c r="G6" t="s">
        <v>124</v>
      </c>
      <c r="H6" s="1" t="s">
        <v>15</v>
      </c>
      <c r="I6" s="3">
        <v>101.3</v>
      </c>
      <c r="J6" s="109" t="s">
        <v>16</v>
      </c>
      <c r="K6" s="10" t="s">
        <v>60</v>
      </c>
      <c r="L6" s="10" t="s">
        <v>61</v>
      </c>
      <c r="M6" s="10" t="s">
        <v>62</v>
      </c>
      <c r="N6" s="10" t="s">
        <v>63</v>
      </c>
      <c r="O6" s="10" t="s">
        <v>64</v>
      </c>
      <c r="P6" s="42" t="s">
        <v>80</v>
      </c>
      <c r="Q6" s="43" t="s">
        <v>81</v>
      </c>
      <c r="R6" s="43" t="s">
        <v>125</v>
      </c>
      <c r="S6" s="43" t="s">
        <v>83</v>
      </c>
      <c r="T6" s="43" t="s">
        <v>84</v>
      </c>
      <c r="U6" s="43" t="s">
        <v>126</v>
      </c>
      <c r="V6" s="64" t="s">
        <v>127</v>
      </c>
      <c r="W6" s="64" t="s">
        <v>128</v>
      </c>
      <c r="X6" s="64" t="s">
        <v>90</v>
      </c>
      <c r="Y6" s="64" t="s">
        <v>91</v>
      </c>
      <c r="Z6" s="64" t="s">
        <v>129</v>
      </c>
      <c r="AA6" s="64" t="s">
        <v>130</v>
      </c>
      <c r="AB6" s="64" t="s">
        <v>131</v>
      </c>
      <c r="AC6" s="64" t="s">
        <v>132</v>
      </c>
      <c r="AD6" s="64" t="s">
        <v>133</v>
      </c>
      <c r="AE6" s="64" t="s">
        <v>134</v>
      </c>
      <c r="AF6" s="64" t="s">
        <v>135</v>
      </c>
      <c r="AG6" s="64" t="s">
        <v>136</v>
      </c>
      <c r="AH6" s="117" t="s">
        <v>137</v>
      </c>
      <c r="AI6" s="117" t="s">
        <v>138</v>
      </c>
      <c r="AJ6" s="117" t="s">
        <v>139</v>
      </c>
      <c r="AK6" s="117" t="s">
        <v>140</v>
      </c>
      <c r="AL6" s="53" t="s">
        <v>141</v>
      </c>
      <c r="AM6" s="53" t="s">
        <v>142</v>
      </c>
      <c r="AN6" s="53" t="s">
        <v>143</v>
      </c>
      <c r="AO6" s="81" t="s">
        <v>144</v>
      </c>
      <c r="AP6" s="84" t="s">
        <v>145</v>
      </c>
      <c r="AQ6" s="84" t="s">
        <v>145</v>
      </c>
      <c r="AR6" s="64" t="s">
        <v>146</v>
      </c>
      <c r="AS6" s="84" t="s">
        <v>147</v>
      </c>
      <c r="AT6" s="85" t="s">
        <v>148</v>
      </c>
      <c r="AU6" s="85" t="s">
        <v>149</v>
      </c>
      <c r="AV6" s="85" t="s">
        <v>150</v>
      </c>
      <c r="AW6" s="85" t="s">
        <v>151</v>
      </c>
      <c r="AX6" s="85" t="s">
        <v>152</v>
      </c>
      <c r="AY6" s="79"/>
      <c r="AZ6" s="68" t="s">
        <v>153</v>
      </c>
      <c r="BA6" s="68" t="s">
        <v>154</v>
      </c>
      <c r="BB6" s="68" t="s">
        <v>155</v>
      </c>
      <c r="BC6" s="68" t="s">
        <v>156</v>
      </c>
      <c r="BD6" s="64" t="s">
        <v>133</v>
      </c>
      <c r="BE6" s="64" t="s">
        <v>134</v>
      </c>
      <c r="BF6" s="64" t="s">
        <v>135</v>
      </c>
      <c r="BG6" s="64" t="s">
        <v>136</v>
      </c>
      <c r="BH6" s="117" t="s">
        <v>137</v>
      </c>
      <c r="BI6" s="117" t="s">
        <v>138</v>
      </c>
      <c r="BJ6" s="117" t="s">
        <v>139</v>
      </c>
      <c r="BK6" s="117" t="s">
        <v>140</v>
      </c>
      <c r="BL6" s="53" t="s">
        <v>141</v>
      </c>
      <c r="BM6" s="53" t="s">
        <v>142</v>
      </c>
      <c r="BN6" s="53" t="s">
        <v>143</v>
      </c>
      <c r="BO6" s="81" t="s">
        <v>144</v>
      </c>
      <c r="BP6" s="84" t="s">
        <v>145</v>
      </c>
      <c r="BQ6" s="84" t="s">
        <v>145</v>
      </c>
      <c r="BR6" s="64" t="s">
        <v>146</v>
      </c>
      <c r="BS6" s="84" t="s">
        <v>147</v>
      </c>
      <c r="BT6" s="85" t="s">
        <v>148</v>
      </c>
      <c r="BU6" s="85" t="s">
        <v>149</v>
      </c>
      <c r="BV6" s="85" t="s">
        <v>150</v>
      </c>
      <c r="BW6" s="85" t="s">
        <v>151</v>
      </c>
      <c r="BX6" s="87" t="s">
        <v>157</v>
      </c>
      <c r="BY6" s="87" t="s">
        <v>158</v>
      </c>
      <c r="BZ6" s="87" t="s">
        <v>159</v>
      </c>
      <c r="CA6" s="88" t="s">
        <v>160</v>
      </c>
      <c r="CB6" s="68" t="s">
        <v>153</v>
      </c>
      <c r="CC6" s="68" t="s">
        <v>154</v>
      </c>
      <c r="CD6" s="68" t="s">
        <v>155</v>
      </c>
      <c r="CE6" s="68" t="s">
        <v>156</v>
      </c>
      <c r="CF6" s="64" t="s">
        <v>133</v>
      </c>
      <c r="CG6" s="64" t="s">
        <v>134</v>
      </c>
      <c r="CH6" s="64" t="s">
        <v>135</v>
      </c>
      <c r="CI6" s="64" t="s">
        <v>136</v>
      </c>
      <c r="CJ6" s="117" t="s">
        <v>137</v>
      </c>
      <c r="CK6" s="117" t="s">
        <v>138</v>
      </c>
      <c r="CL6" s="117" t="s">
        <v>139</v>
      </c>
      <c r="CM6" s="117" t="s">
        <v>140</v>
      </c>
      <c r="CN6" s="53" t="s">
        <v>141</v>
      </c>
      <c r="CO6" s="53" t="s">
        <v>142</v>
      </c>
      <c r="CP6" s="53" t="s">
        <v>143</v>
      </c>
      <c r="CQ6" s="81" t="s">
        <v>144</v>
      </c>
      <c r="CR6" s="84" t="s">
        <v>145</v>
      </c>
      <c r="CS6" s="84" t="s">
        <v>145</v>
      </c>
      <c r="CT6" s="64" t="s">
        <v>146</v>
      </c>
      <c r="CU6" s="84" t="s">
        <v>147</v>
      </c>
      <c r="CV6" s="85" t="s">
        <v>148</v>
      </c>
      <c r="CW6" s="85" t="s">
        <v>149</v>
      </c>
      <c r="CX6" s="85" t="s">
        <v>150</v>
      </c>
      <c r="CY6" s="85" t="s">
        <v>151</v>
      </c>
      <c r="CZ6" s="87" t="s">
        <v>157</v>
      </c>
      <c r="DA6" s="87" t="s">
        <v>158</v>
      </c>
      <c r="DB6" s="87" t="s">
        <v>159</v>
      </c>
      <c r="DC6" s="88" t="s">
        <v>160</v>
      </c>
      <c r="DD6" s="68" t="s">
        <v>153</v>
      </c>
      <c r="DE6" s="68" t="s">
        <v>154</v>
      </c>
      <c r="DF6" s="68" t="s">
        <v>155</v>
      </c>
      <c r="DG6" s="68" t="s">
        <v>156</v>
      </c>
      <c r="DH6" s="64" t="s">
        <v>133</v>
      </c>
      <c r="DI6" s="64" t="s">
        <v>134</v>
      </c>
      <c r="DJ6" s="64" t="s">
        <v>135</v>
      </c>
      <c r="DK6" s="64" t="s">
        <v>136</v>
      </c>
      <c r="DL6" s="117" t="s">
        <v>137</v>
      </c>
      <c r="DM6" s="117" t="s">
        <v>138</v>
      </c>
      <c r="DN6" s="117" t="s">
        <v>139</v>
      </c>
      <c r="DO6" s="117" t="s">
        <v>140</v>
      </c>
      <c r="DP6" s="53" t="s">
        <v>141</v>
      </c>
      <c r="DQ6" s="53" t="s">
        <v>142</v>
      </c>
      <c r="DR6" s="53" t="s">
        <v>143</v>
      </c>
      <c r="DS6" s="81" t="s">
        <v>144</v>
      </c>
      <c r="DT6" s="84" t="s">
        <v>145</v>
      </c>
      <c r="DU6" s="84" t="s">
        <v>145</v>
      </c>
      <c r="DV6" s="64" t="s">
        <v>146</v>
      </c>
      <c r="DW6" s="84" t="s">
        <v>147</v>
      </c>
      <c r="DX6" s="85" t="s">
        <v>148</v>
      </c>
      <c r="DY6" s="85" t="s">
        <v>149</v>
      </c>
      <c r="DZ6" s="85" t="s">
        <v>150</v>
      </c>
      <c r="EA6" s="85" t="s">
        <v>151</v>
      </c>
      <c r="EB6" s="87" t="s">
        <v>157</v>
      </c>
      <c r="EC6" s="87" t="s">
        <v>158</v>
      </c>
      <c r="ED6" s="87" t="s">
        <v>159</v>
      </c>
      <c r="EE6" s="88" t="s">
        <v>160</v>
      </c>
      <c r="EF6" s="68" t="s">
        <v>153</v>
      </c>
      <c r="EG6" s="68" t="s">
        <v>154</v>
      </c>
      <c r="EH6" s="68" t="s">
        <v>155</v>
      </c>
      <c r="EI6" s="68" t="s">
        <v>156</v>
      </c>
      <c r="EJ6" s="64" t="s">
        <v>133</v>
      </c>
      <c r="EK6" s="64" t="s">
        <v>134</v>
      </c>
      <c r="EL6" s="64" t="s">
        <v>135</v>
      </c>
      <c r="EM6" s="64" t="s">
        <v>136</v>
      </c>
      <c r="EN6" s="117" t="s">
        <v>137</v>
      </c>
      <c r="EO6" s="117" t="s">
        <v>138</v>
      </c>
      <c r="EP6" s="117" t="s">
        <v>139</v>
      </c>
      <c r="EQ6" s="117" t="s">
        <v>140</v>
      </c>
      <c r="ER6" s="53" t="s">
        <v>141</v>
      </c>
      <c r="ES6" s="53" t="s">
        <v>142</v>
      </c>
      <c r="ET6" s="53" t="s">
        <v>143</v>
      </c>
      <c r="EU6" s="81" t="s">
        <v>144</v>
      </c>
      <c r="EV6" s="84" t="s">
        <v>145</v>
      </c>
      <c r="EW6" s="84" t="s">
        <v>145</v>
      </c>
      <c r="EX6" s="64" t="s">
        <v>146</v>
      </c>
      <c r="EY6" s="84" t="s">
        <v>147</v>
      </c>
      <c r="EZ6" s="85" t="s">
        <v>148</v>
      </c>
      <c r="FA6" s="85" t="s">
        <v>149</v>
      </c>
      <c r="FB6" s="85" t="s">
        <v>150</v>
      </c>
      <c r="FC6" s="85" t="s">
        <v>151</v>
      </c>
      <c r="FD6" s="87" t="s">
        <v>157</v>
      </c>
      <c r="FE6" s="87" t="s">
        <v>158</v>
      </c>
      <c r="FF6" s="87" t="s">
        <v>159</v>
      </c>
      <c r="FG6" s="88" t="s">
        <v>160</v>
      </c>
      <c r="FH6" s="68" t="s">
        <v>161</v>
      </c>
      <c r="FI6" s="68" t="s">
        <v>154</v>
      </c>
      <c r="FJ6" s="68" t="s">
        <v>162</v>
      </c>
      <c r="FK6" s="68" t="s">
        <v>163</v>
      </c>
      <c r="FL6" s="64" t="s">
        <v>133</v>
      </c>
      <c r="FM6" s="64" t="s">
        <v>134</v>
      </c>
      <c r="FN6" s="64" t="s">
        <v>135</v>
      </c>
      <c r="FO6" s="64" t="s">
        <v>136</v>
      </c>
      <c r="FP6" s="117" t="s">
        <v>137</v>
      </c>
      <c r="FQ6" s="117" t="s">
        <v>138</v>
      </c>
      <c r="FR6" s="117" t="s">
        <v>139</v>
      </c>
      <c r="FS6" s="117" t="s">
        <v>140</v>
      </c>
      <c r="FT6" s="53" t="s">
        <v>141</v>
      </c>
      <c r="FU6" s="53" t="s">
        <v>142</v>
      </c>
      <c r="FV6" s="53" t="s">
        <v>143</v>
      </c>
      <c r="FW6" s="81" t="s">
        <v>144</v>
      </c>
      <c r="FX6" s="84" t="s">
        <v>145</v>
      </c>
      <c r="FY6" s="84" t="s">
        <v>145</v>
      </c>
      <c r="FZ6" s="64" t="s">
        <v>146</v>
      </c>
      <c r="GA6" s="84" t="s">
        <v>147</v>
      </c>
      <c r="GB6" s="85" t="s">
        <v>148</v>
      </c>
      <c r="GC6" s="85" t="s">
        <v>149</v>
      </c>
      <c r="GD6" s="85" t="s">
        <v>150</v>
      </c>
      <c r="GE6" s="85" t="s">
        <v>151</v>
      </c>
      <c r="GF6" s="87" t="s">
        <v>157</v>
      </c>
      <c r="GG6" s="87" t="s">
        <v>158</v>
      </c>
      <c r="GH6" s="87" t="s">
        <v>159</v>
      </c>
      <c r="GI6" s="88" t="s">
        <v>160</v>
      </c>
      <c r="GJ6" s="68" t="s">
        <v>164</v>
      </c>
      <c r="GK6" s="68" t="s">
        <v>154</v>
      </c>
      <c r="GL6" s="68" t="s">
        <v>165</v>
      </c>
      <c r="GM6" s="68" t="s">
        <v>166</v>
      </c>
      <c r="GN6" s="64" t="s">
        <v>133</v>
      </c>
      <c r="GO6" s="64" t="s">
        <v>134</v>
      </c>
      <c r="GP6" s="64" t="s">
        <v>135</v>
      </c>
      <c r="GQ6" s="64" t="s">
        <v>136</v>
      </c>
      <c r="GR6" s="117" t="s">
        <v>137</v>
      </c>
      <c r="GS6" s="117" t="s">
        <v>138</v>
      </c>
      <c r="GT6" s="117" t="s">
        <v>139</v>
      </c>
      <c r="GU6" s="117" t="s">
        <v>140</v>
      </c>
      <c r="GV6" s="53" t="s">
        <v>141</v>
      </c>
      <c r="GW6" s="53" t="s">
        <v>142</v>
      </c>
      <c r="GX6" s="53" t="s">
        <v>143</v>
      </c>
      <c r="GY6" s="81" t="s">
        <v>144</v>
      </c>
      <c r="GZ6" s="84" t="s">
        <v>145</v>
      </c>
      <c r="HA6" s="84" t="s">
        <v>145</v>
      </c>
      <c r="HB6" s="64" t="s">
        <v>146</v>
      </c>
      <c r="HC6" s="84" t="s">
        <v>147</v>
      </c>
      <c r="HD6" s="85" t="s">
        <v>148</v>
      </c>
      <c r="HE6" s="85" t="s">
        <v>149</v>
      </c>
      <c r="HF6" s="85" t="s">
        <v>150</v>
      </c>
      <c r="HG6" s="85" t="s">
        <v>151</v>
      </c>
      <c r="HH6" s="87" t="s">
        <v>157</v>
      </c>
      <c r="HI6" s="87" t="s">
        <v>158</v>
      </c>
      <c r="HJ6" s="87" t="s">
        <v>159</v>
      </c>
      <c r="HK6" s="88" t="s">
        <v>160</v>
      </c>
      <c r="HL6" s="68" t="s">
        <v>167</v>
      </c>
      <c r="HM6" s="68" t="s">
        <v>154</v>
      </c>
      <c r="HN6" s="68" t="s">
        <v>168</v>
      </c>
      <c r="HO6" s="68" t="s">
        <v>169</v>
      </c>
      <c r="HP6" s="64" t="s">
        <v>133</v>
      </c>
      <c r="HQ6" s="64" t="s">
        <v>134</v>
      </c>
      <c r="HR6" s="64" t="s">
        <v>135</v>
      </c>
      <c r="HS6" s="64" t="s">
        <v>136</v>
      </c>
      <c r="HT6" s="117" t="s">
        <v>137</v>
      </c>
      <c r="HU6" s="117" t="s">
        <v>138</v>
      </c>
      <c r="HV6" s="117" t="s">
        <v>139</v>
      </c>
      <c r="HW6" s="117" t="s">
        <v>140</v>
      </c>
      <c r="HX6" s="53" t="s">
        <v>141</v>
      </c>
      <c r="HY6" s="53" t="s">
        <v>142</v>
      </c>
      <c r="HZ6" s="53" t="s">
        <v>143</v>
      </c>
      <c r="IA6" s="81" t="s">
        <v>144</v>
      </c>
      <c r="IB6" s="84" t="s">
        <v>145</v>
      </c>
      <c r="IC6" s="84" t="s">
        <v>145</v>
      </c>
      <c r="ID6" s="64" t="s">
        <v>146</v>
      </c>
      <c r="IE6" s="84" t="s">
        <v>147</v>
      </c>
      <c r="IF6" s="85" t="s">
        <v>148</v>
      </c>
      <c r="IG6" s="85" t="s">
        <v>149</v>
      </c>
      <c r="IH6" s="85" t="s">
        <v>150</v>
      </c>
      <c r="II6" s="85" t="s">
        <v>151</v>
      </c>
      <c r="IJ6" s="87" t="s">
        <v>157</v>
      </c>
      <c r="IK6" s="87" t="s">
        <v>158</v>
      </c>
      <c r="IL6" s="87" t="s">
        <v>159</v>
      </c>
      <c r="IM6" s="88" t="s">
        <v>160</v>
      </c>
      <c r="IN6" s="68" t="s">
        <v>170</v>
      </c>
      <c r="IO6" s="68" t="s">
        <v>154</v>
      </c>
      <c r="IP6" s="68" t="s">
        <v>171</v>
      </c>
      <c r="IQ6" s="68" t="s">
        <v>172</v>
      </c>
      <c r="IR6" s="64" t="s">
        <v>133</v>
      </c>
      <c r="IS6" s="64" t="s">
        <v>134</v>
      </c>
      <c r="IT6" s="64" t="s">
        <v>135</v>
      </c>
      <c r="IU6" s="64" t="s">
        <v>136</v>
      </c>
      <c r="IV6" s="117" t="s">
        <v>137</v>
      </c>
      <c r="IW6" s="117" t="s">
        <v>138</v>
      </c>
      <c r="IX6" s="117" t="s">
        <v>139</v>
      </c>
      <c r="IY6" s="117" t="s">
        <v>140</v>
      </c>
      <c r="IZ6" s="53" t="s">
        <v>141</v>
      </c>
      <c r="JA6" s="53" t="s">
        <v>142</v>
      </c>
      <c r="JB6" s="53" t="s">
        <v>143</v>
      </c>
      <c r="JC6" s="81" t="s">
        <v>144</v>
      </c>
      <c r="JD6" s="84" t="s">
        <v>145</v>
      </c>
      <c r="JE6" s="84" t="s">
        <v>145</v>
      </c>
      <c r="JF6" s="64" t="s">
        <v>146</v>
      </c>
      <c r="JG6" s="84" t="s">
        <v>147</v>
      </c>
      <c r="JH6" s="85" t="s">
        <v>148</v>
      </c>
      <c r="JI6" s="85" t="s">
        <v>149</v>
      </c>
      <c r="JJ6" s="85" t="s">
        <v>150</v>
      </c>
      <c r="JK6" s="85" t="s">
        <v>151</v>
      </c>
      <c r="JL6" s="87" t="s">
        <v>157</v>
      </c>
      <c r="JM6" s="87" t="s">
        <v>158</v>
      </c>
      <c r="JN6" s="87" t="s">
        <v>159</v>
      </c>
      <c r="JO6" s="88" t="s">
        <v>160</v>
      </c>
    </row>
    <row r="7" spans="1:275">
      <c r="G7">
        <v>1</v>
      </c>
      <c r="H7" s="6" t="str">
        <f>IF(Wilson!B7="","",Wilson!B7)</f>
        <v xml:space="preserve">MF Ethane </v>
      </c>
      <c r="I7" s="3">
        <f>IF(Wilson!C7="","",Wilson!C7)</f>
        <v>0.2</v>
      </c>
      <c r="J7" s="109" t="s">
        <v>27</v>
      </c>
      <c r="K7" s="11">
        <v>51.856999999999999</v>
      </c>
      <c r="L7" s="11">
        <v>-2598.6999999999998</v>
      </c>
      <c r="M7" s="11">
        <v>-5.1283000000000003</v>
      </c>
      <c r="N7" s="12">
        <v>1.4912999999999999E-5</v>
      </c>
      <c r="O7" s="11">
        <v>2</v>
      </c>
      <c r="P7" s="44">
        <v>305.32</v>
      </c>
      <c r="Q7" s="45">
        <v>4850</v>
      </c>
      <c r="R7" s="45">
        <f>$I$5/P7</f>
        <v>0.97602515393685318</v>
      </c>
      <c r="S7" s="45">
        <v>9.8000000000000004E-2</v>
      </c>
      <c r="T7" s="45">
        <v>30.07</v>
      </c>
      <c r="U7" s="45" t="e">
        <f ca="1">wagnerC($I$5,K7:O7)/1000</f>
        <v>#NAME?</v>
      </c>
      <c r="V7" s="1" t="e">
        <f ca="1">Wilson!J7</f>
        <v>#NAME?</v>
      </c>
      <c r="W7" s="146" t="e">
        <f ca="1">Wilson!K7</f>
        <v>#NAME?</v>
      </c>
      <c r="X7" s="1" t="e">
        <f ca="1">IF(Wilson!M7="","",Wilson!M7)</f>
        <v>#NAME?</v>
      </c>
      <c r="Y7" s="65" t="e">
        <f ca="1">Wilson!N7</f>
        <v>#NAME?</v>
      </c>
      <c r="Z7" s="1">
        <f>IF(I7=0,0,0.37464 + (1.54226*S7)-(0.2699*S7^2))</f>
        <v>0.52318936039999997</v>
      </c>
      <c r="AA7" s="1" t="e">
        <f ca="1">IF(I7=0,0,alpha(S7,R7))</f>
        <v>#NAME?</v>
      </c>
      <c r="AB7" s="1" t="e">
        <f t="shared" ref="AB7:AB16" ca="1" si="0">IF(I7=0,0,a_i(P7,Q7)*AA7)</f>
        <v>#NAME?</v>
      </c>
      <c r="AC7" s="1" t="e">
        <f ca="1">IF(I7=0,0,b_i(P7,Q7))</f>
        <v>#NAME?</v>
      </c>
      <c r="AD7" s="78" t="e">
        <f ca="1">INDEX(AB_Calc(a_iVal, b_iVal,x_iVal,Kij_Val,COUNTA(Chemicals),$AE$3,$I$5,$I$6,BIPset),1)</f>
        <v>#NAME?</v>
      </c>
      <c r="AE7" s="69" t="e">
        <f ca="1">INDEX(AB_Calc(a_iVal, b_iVal,x_iVal,Kij_Val,COUNTA(Chemicals),$AE$3,$I$5,$I$6,BIPset),2)</f>
        <v>#NAME?</v>
      </c>
      <c r="AF7" s="69" t="e">
        <f ca="1">INDEX(AB_Calc(a_iVal, b_iVal,y_iVal,Kij_Val,COUNTA(Chemicals),$AE$3,$I$5,$I$6,BIPset),1)</f>
        <v>#NAME?</v>
      </c>
      <c r="AG7" s="69" t="e">
        <f ca="1">INDEX(AB_Calc(a_iVal, b_iVal,y_iVal,Kij_Val,COUNTA(Chemicals),$AE$3,$I$5,$I$6,BIPset),2)</f>
        <v>#NAME?</v>
      </c>
      <c r="AH7" s="80">
        <f>1</f>
        <v>1</v>
      </c>
      <c r="AI7" s="80" t="e">
        <f ca="1">-(1-AE7)</f>
        <v>#NAME?</v>
      </c>
      <c r="AJ7" s="80" t="e">
        <f ca="1">(AD7-(2*AE7)-(3*AE7^2))</f>
        <v>#NAME?</v>
      </c>
      <c r="AK7" s="80" t="e">
        <f ca="1">-(AD7*AE7-(AE7^2)-(AE7^3))</f>
        <v>#NAME?</v>
      </c>
      <c r="AL7" s="1" t="b">
        <f ca="1">IFERROR(INDEX(CardanoMethod(AH7:AK7),1),FALSE)</f>
        <v>0</v>
      </c>
      <c r="AM7" s="1" t="b">
        <f ca="1">IFERROR(INDEX(CardanoMethod(AH7:AK7),2),FALSE)</f>
        <v>0</v>
      </c>
      <c r="AN7" s="1" t="b">
        <f ca="1">IFERROR(INDEX(CardanoMethod(AH7:AK7),3),FALSE)</f>
        <v>0</v>
      </c>
      <c r="AO7" s="82">
        <f ca="1">MIN(AL7:AN7)</f>
        <v>0</v>
      </c>
      <c r="AP7" s="1" t="e">
        <f ca="1">IF(I7="","",psi_i(a_iVal,x_iVal,G7,Kij_Val,BIPset,$AE$3,COUNTA(Chemicals)))</f>
        <v>#NAME?</v>
      </c>
      <c r="AQ7" s="1" t="e">
        <f ca="1">IF(I7="","",psi_i(a_iVal,y_iVal, G7,Kij_Val,BIPset,$AE$3,COUNTA(Chemicals)))</f>
        <v>#NAME?</v>
      </c>
      <c r="AR7" s="1" t="e">
        <f ca="1">psiSUM(a_iVal,x_iVal,Kij_Val,BIPset,$AE$3,COUNTA(Chemicals))</f>
        <v>#NAME?</v>
      </c>
      <c r="AS7" s="1" t="str">
        <f ca="1">IFERROR(X7*$AC7,"")</f>
        <v/>
      </c>
      <c r="AT7" s="1" t="str">
        <f ca="1">IFERROR(Y7*AC7,"")</f>
        <v/>
      </c>
      <c r="AU7" s="1">
        <f ca="1">SUM(AS7:AS16)</f>
        <v>0</v>
      </c>
      <c r="AV7" s="1" t="e">
        <f ca="1">IF(I7="",0,phi_i($AO$7,$AD$7,$AE$7,AC7,$AU$7,AP7,$AR$7))</f>
        <v>#NAME?</v>
      </c>
      <c r="AW7" s="1" t="e">
        <f ca="1">IF(I7="",0,phi_i($AO$10,$AF$7,$AG$7,AC7,$AU$10,AQ7,$AR$10))</f>
        <v>#NAME?</v>
      </c>
      <c r="AX7" s="1">
        <f ca="1">IFERROR(AV7/AW7,0)</f>
        <v>0</v>
      </c>
      <c r="AY7" s="79"/>
      <c r="AZ7" s="86" t="str">
        <f ca="1">IFERROR(AV7/AW7,"")</f>
        <v/>
      </c>
      <c r="BA7" t="e">
        <f ca="1">solveR(AZ7:AZ16,MF_iVal,COUNTA(Chemicals))</f>
        <v>#NAME?</v>
      </c>
      <c r="BB7">
        <f ca="1">IFERROR(X_i(AZ7,I7,$BA$7),0)</f>
        <v>0</v>
      </c>
      <c r="BC7">
        <f ca="1">IFERROR(y_i(AZ7,I7,$BA$7),0)</f>
        <v>0</v>
      </c>
      <c r="BD7" t="e">
        <f ca="1">INDEX(AB_Calc(a_iVal, b_iVal,x_iter1,Kij_Val,COUNTA(Chemicals),$AE$3,$I$5,$I$6,BIPset),1)</f>
        <v>#NAME?</v>
      </c>
      <c r="BE7" t="e">
        <f ca="1">INDEX(AB_Calc(a_iVal, b_iVal,x_iter1,Kij_Val,COUNTA(Chemicals),$AE$3,$I$5,$I$6,BIPset),2)</f>
        <v>#NAME?</v>
      </c>
      <c r="BF7" t="e">
        <f ca="1">INDEX(AB_Calc(a_iVal, b_iVal,y_iter1,Kij_Val,COUNTA(Chemicals),$AE$3,$I$5,$I$6,BIPset),1)</f>
        <v>#NAME?</v>
      </c>
      <c r="BG7" t="e">
        <f ca="1">INDEX(AB_Calc(a_iVal, b_iVal,y_iter1,Kij_Val,COUNTA(Chemicals),$AE$3,$I$5,$I$6,BIPset),2)</f>
        <v>#NAME?</v>
      </c>
      <c r="BH7" s="80">
        <f>1</f>
        <v>1</v>
      </c>
      <c r="BI7" s="80" t="e">
        <f ca="1">-(1-BE7)</f>
        <v>#NAME?</v>
      </c>
      <c r="BJ7" s="80" t="e">
        <f ca="1">(BD7-(2*BE7)-(3*BE7^2))</f>
        <v>#NAME?</v>
      </c>
      <c r="BK7" s="80" t="e">
        <f ca="1">-(BD7*BE7-(BE7^2)-(BE7^3))</f>
        <v>#NAME?</v>
      </c>
      <c r="BL7" s="1" t="b">
        <f ca="1">IFERROR(INDEX(CardanoMethod(BH7:BK7),1),FALSE)</f>
        <v>0</v>
      </c>
      <c r="BM7" s="1" t="b">
        <f ca="1">IFERROR(INDEX(CardanoMethod(BH7:BK7),2),FALSE)</f>
        <v>0</v>
      </c>
      <c r="BN7" s="1" t="b">
        <f ca="1">IFERROR(INDEX(CardanoMethod(BH7:BK7),3),FALSE)</f>
        <v>0</v>
      </c>
      <c r="BO7" s="82">
        <f ca="1">MIN(BL7:BN7)</f>
        <v>0</v>
      </c>
      <c r="BP7" s="1" t="e">
        <f ca="1">IF(I7="","",psi_i(a_iVal,x_iter1,$G7,Kij_Val,BIPset,$AE$3,COUNTA(Chemicals)))</f>
        <v>#NAME?</v>
      </c>
      <c r="BQ7" s="1" t="e">
        <f ca="1">IF(I7="","",psi_i(a_iVal,y_iter1,G7,Kij_Val,BIPset,$AE$3,COUNTA(Chemicals)))</f>
        <v>#NAME?</v>
      </c>
      <c r="BR7" s="1" t="e">
        <f ca="1">psiSUM(a_iVal,x_iter1,Kij_Val,BIPset,$AE$3,COUNTA(Chemicals))</f>
        <v>#NAME?</v>
      </c>
      <c r="BS7" s="1" t="e">
        <f ca="1">BB7*$AC7</f>
        <v>#NAME?</v>
      </c>
      <c r="BT7" s="1" t="e">
        <f ca="1">BC7*$AC7</f>
        <v>#NAME?</v>
      </c>
      <c r="BU7" s="1" t="e">
        <f ca="1">SUM(BS7:BS16)</f>
        <v>#NAME?</v>
      </c>
      <c r="BV7" s="1" t="e">
        <f ca="1">IF(I7="",0,phi_i($BO$7,$BD$7,$BE$7,AC7,$BU$7,BP7,$BR$7))</f>
        <v>#NAME?</v>
      </c>
      <c r="BW7" s="1" t="e">
        <f ca="1">IF(I7="",0,phi_i($BO$10,$BF$7,$BG$7,AC7,$BU$10,BQ7,$BR$10))</f>
        <v>#NAME?</v>
      </c>
      <c r="BX7" t="e">
        <f ca="1">IF(I7="",0,BV7*BB7*$I$6)</f>
        <v>#NAME?</v>
      </c>
      <c r="BY7" t="e">
        <f ca="1">IF(I7="",0,BW7*BC7*$I$6)</f>
        <v>#NAME?</v>
      </c>
      <c r="BZ7">
        <f ca="1">IFERROR((1-(BX7/BY7))^2,0)</f>
        <v>0</v>
      </c>
      <c r="CA7" s="89">
        <f ca="1">SUM(BZ7:BZ29)</f>
        <v>0</v>
      </c>
      <c r="CB7" s="86" t="str">
        <f ca="1">IFERROR(BV7/BW7,"")</f>
        <v/>
      </c>
      <c r="CC7" t="e">
        <f ca="1">solveR(CB7:CB16,MF_iVal,COUNTA(Chemicals))</f>
        <v>#NAME?</v>
      </c>
      <c r="CD7" t="str">
        <f ca="1">IFERROR(X_i(CB7,$I7,$CC$7),"")</f>
        <v/>
      </c>
      <c r="CE7" t="str">
        <f ca="1">IFERROR(y_i(CB7,$I7,$CC$7),"")</f>
        <v/>
      </c>
      <c r="CF7" t="e">
        <f ca="1">INDEX(AB_Calc(a_iVal, b_iVal,x_iter2,Kij_Val,COUNTA(Chemicals),$AE$3,$I$5,$I$6,BIPset),1)</f>
        <v>#NAME?</v>
      </c>
      <c r="CG7" t="e">
        <f ca="1">INDEX(AB_Calc(a_iVal, b_iVal,x_iter2,Kij_Val,COUNTA(Chemicals),$AE$3,$I$5,$I$6,BIPset),2)</f>
        <v>#NAME?</v>
      </c>
      <c r="CH7" t="e">
        <f ca="1">INDEX(AB_Calc(a_iVal, b_iVal,y_iter2,Kij_Val,COUNTA(Chemicals),$AE$3,$I$5,$I$6,BIPset),1)</f>
        <v>#NAME?</v>
      </c>
      <c r="CI7" t="e">
        <f ca="1">INDEX(AB_Calc(a_iVal, b_iVal,y_iter2,Kij_Val,COUNTA(Chemicals),$AE$3,$I$5,$I$6,BIPset),2)</f>
        <v>#NAME?</v>
      </c>
      <c r="CJ7" s="80">
        <f>1</f>
        <v>1</v>
      </c>
      <c r="CK7" s="80" t="e">
        <f ca="1">-(1-CG7)</f>
        <v>#NAME?</v>
      </c>
      <c r="CL7" s="80" t="e">
        <f ca="1">(CF7-(2*CG7)-(3*CG7^2))</f>
        <v>#NAME?</v>
      </c>
      <c r="CM7" s="80" t="e">
        <f ca="1">-(CF7*CG7-(CG7^2)-(CG7^3))</f>
        <v>#NAME?</v>
      </c>
      <c r="CN7" s="1" t="b">
        <f ca="1">IFERROR(INDEX(CardanoMethod(CJ7:CM7),1),FALSE)</f>
        <v>0</v>
      </c>
      <c r="CO7" s="1" t="b">
        <f ca="1">IFERROR(INDEX(CardanoMethod(CJ7:CM7),2),FALSE)</f>
        <v>0</v>
      </c>
      <c r="CP7" s="1" t="b">
        <f ca="1">IFERROR(INDEX(CardanoMethod(CJ7:CM7),3),FALSE)</f>
        <v>0</v>
      </c>
      <c r="CQ7" s="82">
        <f ca="1">MIN(CN7:CP7)</f>
        <v>0</v>
      </c>
      <c r="CR7" s="1" t="e">
        <f ca="1">IF($I7="","",psi_i(a_iVal,x_iter2,$G7,Kij_Val,BIPset,$AE$3,COUNTA(Chemicals)))</f>
        <v>#NAME?</v>
      </c>
      <c r="CS7" s="1" t="e">
        <f ca="1">IF($I7="","",psi_i(a_iVal,y_iter2,$G7,Kij_Val,BIPset,$AE$3,COUNTA(Chemicals)))</f>
        <v>#NAME?</v>
      </c>
      <c r="CT7" s="1" t="e">
        <f ca="1">psiSUM(a_iVal,x_iter2,Kij_Val,BIPset,$AE$3,COUNTA(Chemicals))</f>
        <v>#NAME?</v>
      </c>
      <c r="CU7" s="1" t="str">
        <f ca="1">IFERROR(CD7*$AC7,"")</f>
        <v/>
      </c>
      <c r="CV7" s="1" t="str">
        <f ca="1">IFERROR(CE7*$AC7,"")</f>
        <v/>
      </c>
      <c r="CW7" s="1">
        <f ca="1">SUM(CU7:CU16)</f>
        <v>0</v>
      </c>
      <c r="CX7" s="1" t="e">
        <f ca="1">IF($I7="",0,phi_i($CQ$7,$CF$7,$CG$7,AC7,$CW$7,CR7,$CT$7))</f>
        <v>#NAME?</v>
      </c>
      <c r="CY7" s="1" t="e">
        <f ca="1">IF($I7="",0,phi_i($CQ$10,$CH$7,$CI$7,AC7,$CW$10,CS7,$CT$10))</f>
        <v>#NAME?</v>
      </c>
      <c r="CZ7" t="e">
        <f ca="1">IF($I7="",0,CX7*CD7*$I$6)</f>
        <v>#NAME?</v>
      </c>
      <c r="DA7" t="e">
        <f ca="1">IF($I7="",0,CY7*CE7*$I$6)</f>
        <v>#NAME?</v>
      </c>
      <c r="DB7">
        <f ca="1">IFERROR((1-(CZ7/DA7))^2,0)</f>
        <v>0</v>
      </c>
      <c r="DC7" s="89">
        <f ca="1">SUM(DB7:DB29)</f>
        <v>0</v>
      </c>
      <c r="DD7" s="86" t="str">
        <f ca="1">IFERROR(CX7/CY7,"")</f>
        <v/>
      </c>
      <c r="DE7" t="e">
        <f ca="1">solveR(DD7:DD16,MF_iVal,COUNTA(Chemicals))</f>
        <v>#NAME?</v>
      </c>
      <c r="DF7" t="str">
        <f ca="1">IFERROR(X_i(DD7,$I7,$DE$7),"")</f>
        <v/>
      </c>
      <c r="DG7" t="str">
        <f ca="1">IFERROR(y_i(DD7,$I7,$DE$7),"")</f>
        <v/>
      </c>
      <c r="DH7" t="e">
        <f ca="1">INDEX(AB_Calc(a_iVal, b_iVal,x_iter3,Kij_Val,COUNTA(Chemicals),$AE$3,$I$5,$I$6,BIPset),1)</f>
        <v>#NAME?</v>
      </c>
      <c r="DI7" t="e">
        <f ca="1">INDEX(AB_Calc(a_iVal, b_iVal,x_iter3,Kij_Val,COUNTA(Chemicals),$AE$3,$I$5,$I$6,BIPset),2)</f>
        <v>#NAME?</v>
      </c>
      <c r="DJ7" t="e">
        <f ca="1">INDEX(AB_Calc(a_iVal, b_iVal,y_iter3,Kij_Val,COUNTA(Chemicals),$AE$3,$I$5,$I$6,BIPset),1)</f>
        <v>#NAME?</v>
      </c>
      <c r="DK7" t="e">
        <f ca="1">INDEX(AB_Calc(a_iVal, b_iVal,y_iter3,Kij_Val,COUNTA(Chemicals),$AE$3,$I$5,$I$6,BIPset),2)</f>
        <v>#NAME?</v>
      </c>
      <c r="DL7" s="80">
        <f>1</f>
        <v>1</v>
      </c>
      <c r="DM7" s="80" t="e">
        <f ca="1">-(1-DI7)</f>
        <v>#NAME?</v>
      </c>
      <c r="DN7" s="80" t="e">
        <f ca="1">(DH7-(2*DI7)-(3*DI7^2))</f>
        <v>#NAME?</v>
      </c>
      <c r="DO7" s="80" t="e">
        <f ca="1">-(DH7*DI7-(DI7^2)-(DI7^3))</f>
        <v>#NAME?</v>
      </c>
      <c r="DP7" s="1" t="b">
        <f ca="1">IFERROR(INDEX(CardanoMethod(DL7:DO7),1),FALSE)</f>
        <v>0</v>
      </c>
      <c r="DQ7" s="1" t="b">
        <f ca="1">IFERROR(INDEX(CardanoMethod(DL7:DO7),2),FALSE)</f>
        <v>0</v>
      </c>
      <c r="DR7" s="1" t="b">
        <f ca="1">IFERROR(INDEX(CardanoMethod(DL7:DO7),3),FALSE)</f>
        <v>0</v>
      </c>
      <c r="DS7" s="82">
        <f ca="1">MIN(DP7:DR7)</f>
        <v>0</v>
      </c>
      <c r="DT7" s="1" t="e">
        <f ca="1">IF($I7="","",psi_i(a_iVal,x_iter3,$G7,Kij_Val,BIPset,$AE$3,COUNTA(Chemicals)))</f>
        <v>#NAME?</v>
      </c>
      <c r="DU7" s="1" t="e">
        <f ca="1">IF($I7="","",psi_i(a_iVal,y_iter3,$G7,Kij_Val,BIPset,$AE$3,COUNTA(Chemicals)))</f>
        <v>#NAME?</v>
      </c>
      <c r="DV7" s="1" t="e">
        <f ca="1">psiSUM(a_iVal,x_iter3,Kij_Val,BIPset,$AE$3,COUNTA(Chemicals))</f>
        <v>#NAME?</v>
      </c>
      <c r="DW7" s="1" t="str">
        <f ca="1">IFERROR(DF7*$AC7,"")</f>
        <v/>
      </c>
      <c r="DX7" s="1" t="str">
        <f ca="1">IFERROR(DG7*$AC7,"")</f>
        <v/>
      </c>
      <c r="DY7" s="1">
        <f ca="1">SUM(DW7:DW16)</f>
        <v>0</v>
      </c>
      <c r="DZ7" s="1" t="e">
        <f ca="1">IF($I7="",0,phi_i($DS$7,$DH$7,$DI$7,AC7,$DY$7,DT7,$DV$7))</f>
        <v>#NAME?</v>
      </c>
      <c r="EA7" s="1" t="e">
        <f ca="1">IF($I7="",0,phi_i($DS$10,$DJ$7,$DK$7,AC7,$DY$10,DU7,$DV$10))</f>
        <v>#NAME?</v>
      </c>
      <c r="EB7" t="e">
        <f ca="1">IF($I7="",0,DZ7*DF7*$I$6)</f>
        <v>#NAME?</v>
      </c>
      <c r="EC7" t="e">
        <f ca="1">IF($I7="",0,EA7*DG7*$I$6)</f>
        <v>#NAME?</v>
      </c>
      <c r="ED7">
        <f ca="1">IFERROR((1-(EB7/EC7))^2,0)</f>
        <v>0</v>
      </c>
      <c r="EE7" s="89">
        <f ca="1">SUM(ED7:ED29)</f>
        <v>0</v>
      </c>
      <c r="EF7" s="86" t="str">
        <f ca="1">IFERROR(DZ7/EA7,"")</f>
        <v/>
      </c>
      <c r="EG7" t="e">
        <f ca="1">solveR(EF7:EF16,MF_iVal,COUNTA(Chemicals))</f>
        <v>#NAME?</v>
      </c>
      <c r="EH7" t="str">
        <f ca="1">IFERROR(X_i(EF7,$I7,$EG$7),"")</f>
        <v/>
      </c>
      <c r="EI7" t="str">
        <f ca="1">IFERROR(y_i(EF7,$I7,$EG$7),"")</f>
        <v/>
      </c>
      <c r="EJ7" t="e">
        <f ca="1">INDEX(AB_Calc(a_iVal, b_iVal,x_iter4,Kij_Val,COUNTA(Chemicals),$AE$3,$I$5,$I$6,BIPset),1)</f>
        <v>#NAME?</v>
      </c>
      <c r="EK7" t="e">
        <f ca="1">INDEX(AB_Calc(a_iVal, b_iVal,x_iter4,Kij_Val,COUNTA(Chemicals),$AE$3,$I$5,$I$6,BIPset),2)</f>
        <v>#NAME?</v>
      </c>
      <c r="EL7" t="e">
        <f ca="1">INDEX(AB_Calc(a_iVal, b_iVal,y_iter4,Kij_Val,COUNTA(Chemicals),$AE$3,$I$5,$I$6,BIPset),1)</f>
        <v>#NAME?</v>
      </c>
      <c r="EM7" t="e">
        <f ca="1">INDEX(AB_Calc(a_iVal, b_iVal,y_iter4,Kij_Val,COUNTA(Chemicals),$AE$3,$I$5,$I$6,BIPset),2)</f>
        <v>#NAME?</v>
      </c>
      <c r="EN7" s="80">
        <f>1</f>
        <v>1</v>
      </c>
      <c r="EO7" s="80" t="e">
        <f ca="1">-(1-EK7)</f>
        <v>#NAME?</v>
      </c>
      <c r="EP7" s="80" t="e">
        <f ca="1">(EJ7-(2*EK7)-(3*EK7^2))</f>
        <v>#NAME?</v>
      </c>
      <c r="EQ7" s="80" t="e">
        <f ca="1">-(EJ7*EK7-(EK7^2)-(EK7^3))</f>
        <v>#NAME?</v>
      </c>
      <c r="ER7" s="1" t="b">
        <f ca="1">IFERROR(INDEX(CardanoMethod(EN7:EQ7),1),FALSE)</f>
        <v>0</v>
      </c>
      <c r="ES7" s="1" t="b">
        <f ca="1">IFERROR(INDEX(CardanoMethod(EN7:EQ7),2),FALSE)</f>
        <v>0</v>
      </c>
      <c r="ET7" s="1" t="b">
        <f ca="1">IFERROR(INDEX(CardanoMethod(EN7:EQ7),3),FALSE)</f>
        <v>0</v>
      </c>
      <c r="EU7" s="82">
        <f ca="1">MIN(ER7:ET7)</f>
        <v>0</v>
      </c>
      <c r="EV7" s="1" t="e">
        <f ca="1">IF($I7="","",psi_i(a_iVal,x_iter4,$G7,Kij_Val,BIPset,$AE$3,COUNTA(Chemicals)))</f>
        <v>#NAME?</v>
      </c>
      <c r="EW7" s="1" t="e">
        <f ca="1">IF($I7="","",psi_i(a_iVal,y_iter4,$G7,Kij_Val,BIPset,$AE$3,COUNTA(Chemicals)))</f>
        <v>#NAME?</v>
      </c>
      <c r="EX7" s="1" t="e">
        <f ca="1">psiSUM(a_iVal,x_iter4,Kij_Val,BIPset,$AE$3,COUNTA(Chemicals))</f>
        <v>#NAME?</v>
      </c>
      <c r="EY7" s="1" t="str">
        <f ca="1">IFERROR(EH7*$AC7,"")</f>
        <v/>
      </c>
      <c r="EZ7" s="1" t="str">
        <f ca="1">IFERROR(EI7*$AC7,"")</f>
        <v/>
      </c>
      <c r="FA7" s="1">
        <f ca="1">SUM(EY7:EY16)</f>
        <v>0</v>
      </c>
      <c r="FB7" s="1" t="e">
        <f ca="1">IF($I7="",0,phi_i($EU$7,$EJ$7,$EK$7,AC7,$FA$7,EV7,$EX$7))</f>
        <v>#NAME?</v>
      </c>
      <c r="FC7" s="1" t="e">
        <f ca="1">IF($I7="",0,phi_i($EU$10,$EL$7,$EM$7,AC7,$FA$10,EW7,$EX$10))</f>
        <v>#NAME?</v>
      </c>
      <c r="FD7" t="e">
        <f ca="1">IF($I7="",0,FB7*EH7*$I$6)</f>
        <v>#NAME?</v>
      </c>
      <c r="FE7" t="e">
        <f ca="1">IF($I7="",0,FC7*EI7*$I$6)</f>
        <v>#NAME?</v>
      </c>
      <c r="FF7">
        <f ca="1">IFERROR((1-(FD7/FE7))^2,0)</f>
        <v>0</v>
      </c>
      <c r="FG7" s="89">
        <f ca="1">SUM(FF7:FF29)</f>
        <v>0</v>
      </c>
      <c r="FH7" s="86" t="str">
        <f ca="1">IFERROR(FB7/FC7,"")</f>
        <v/>
      </c>
      <c r="FI7" t="e">
        <f ca="1">solveR(FH7:FH16,MF_iVal,COUNTA(Chemicals))</f>
        <v>#NAME?</v>
      </c>
      <c r="FJ7" t="str">
        <f ca="1">IFERROR(X_i(FH7,$I7,$FI$7),"")</f>
        <v/>
      </c>
      <c r="FK7" t="str">
        <f ca="1">IFERROR(y_i(FH7,$I7,$FI$7),"")</f>
        <v/>
      </c>
      <c r="FL7" t="e">
        <f ca="1">INDEX(AB_Calc(a_iVal, b_iVal,x_iter5,Kij_Val,COUNTA(Chemicals),$AE$3,$I$5,$I$6,BIPset),1)</f>
        <v>#NAME?</v>
      </c>
      <c r="FM7" t="e">
        <f ca="1">INDEX(AB_Calc(a_iVal, b_iVal,x_iter5,Kij_Val,COUNTA(Chemicals),$AE$3,$I$5,$I$6,BIPset),2)</f>
        <v>#NAME?</v>
      </c>
      <c r="FN7" t="e">
        <f ca="1">INDEX(AB_Calc(a_iVal, b_iVal,y_iter5,Kij_Val,COUNTA(Chemicals),$AE$3,$I$5,$I$6,BIPset),1)</f>
        <v>#NAME?</v>
      </c>
      <c r="FO7" t="e">
        <f ca="1">INDEX(AB_Calc(a_iVal, b_iVal,y_iter5,Kij_Val,COUNTA(Chemicals),$AE$3,$I$5,$I$6,BIPset),2)</f>
        <v>#NAME?</v>
      </c>
      <c r="FP7" s="80">
        <f>1</f>
        <v>1</v>
      </c>
      <c r="FQ7" s="80" t="e">
        <f ca="1">-(1-FM7)</f>
        <v>#NAME?</v>
      </c>
      <c r="FR7" s="80" t="e">
        <f ca="1">(FL7-(2*FM7)-(3*FM7^2))</f>
        <v>#NAME?</v>
      </c>
      <c r="FS7" s="80" t="e">
        <f ca="1">-(FL7*FM7-(FM7^2)-(FM7^3))</f>
        <v>#NAME?</v>
      </c>
      <c r="FT7" s="1" t="b">
        <f ca="1">IFERROR(INDEX(CardanoMethod(FP7:FS7),1),FALSE)</f>
        <v>0</v>
      </c>
      <c r="FU7" s="1" t="b">
        <f ca="1">IFERROR(INDEX(CardanoMethod(FP7:FS7),2),FALSE)</f>
        <v>0</v>
      </c>
      <c r="FV7" s="1" t="b">
        <f ca="1">IFERROR(INDEX(CardanoMethod(FP7:FS7),3),FALSE)</f>
        <v>0</v>
      </c>
      <c r="FW7" s="82">
        <f ca="1">MIN(FT7:FV7)</f>
        <v>0</v>
      </c>
      <c r="FX7" s="1" t="e">
        <f ca="1">IF($I7="","",psi_i(a_iVal,x_iter5,$G7,Kij_Val,BIPset,$AE$3,COUNTA(Chemicals)))</f>
        <v>#NAME?</v>
      </c>
      <c r="FY7" s="1" t="e">
        <f ca="1">IF($I7="","",psi_i(a_iVal,y_iter5,$G7,Kij_Val,BIPset,$AE$3,COUNTA(Chemicals)))</f>
        <v>#NAME?</v>
      </c>
      <c r="FZ7" s="1" t="e">
        <f ca="1">psiSUM(a_iVal,x_iter5,Kij_Val,BIPset,$AE$3,COUNTA(Chemicals))</f>
        <v>#NAME?</v>
      </c>
      <c r="GA7" s="1" t="str">
        <f ca="1">IFERROR(FJ7*$AC7,"")</f>
        <v/>
      </c>
      <c r="GB7" s="1" t="str">
        <f ca="1">IFERROR(FK7*$AC7,"")</f>
        <v/>
      </c>
      <c r="GC7" s="1">
        <f ca="1">SUM(GA7:GA16)</f>
        <v>0</v>
      </c>
      <c r="GD7" s="1" t="e">
        <f ca="1">IF($I7="",0,phi_i($FW$7,$FL$7,$FM$7,AC7,$GC$7,FX7,$FZ$7))</f>
        <v>#NAME?</v>
      </c>
      <c r="GE7" s="1" t="e">
        <f ca="1">IF($I7="",0,phi_i($FW$10,$FN$7,$FO$7,AC7,$GC$10,FY7,$FZ$10))</f>
        <v>#NAME?</v>
      </c>
      <c r="GF7" t="e">
        <f ca="1">IF($I7="",0,GD7*FJ7*$I$6)</f>
        <v>#NAME?</v>
      </c>
      <c r="GG7" t="e">
        <f ca="1">IF($I7="",0,GE7*FK7*$I$6)</f>
        <v>#NAME?</v>
      </c>
      <c r="GH7">
        <f ca="1">IFERROR((1-(GF7/GG7))^2,0)</f>
        <v>0</v>
      </c>
      <c r="GI7" s="89">
        <f ca="1">SUM(GH7:GH29)</f>
        <v>0</v>
      </c>
      <c r="GJ7" s="86" t="str">
        <f ca="1">IFERROR(GD7/GE7,"")</f>
        <v/>
      </c>
      <c r="GK7" t="e">
        <f ca="1">solveR(GJ7:GJ16,MF_iVal,COUNTA(Chemicals))</f>
        <v>#NAME?</v>
      </c>
      <c r="GL7" t="str">
        <f ca="1">IFERROR(X_i(GJ7,$I7,$GK$7),"")</f>
        <v/>
      </c>
      <c r="GM7" t="str">
        <f ca="1">IFERROR(y_i(GJ7,$I7,$GK$7),"")</f>
        <v/>
      </c>
      <c r="GN7" t="e">
        <f ca="1">INDEX(AB_Calc(a_iVal, b_iVal,x_iter6,Kij_Val,COUNTA(Chemicals),$AE$3,$I$5,$I$6,BIPset),1)</f>
        <v>#NAME?</v>
      </c>
      <c r="GO7" t="e">
        <f ca="1">INDEX(AB_Calc(a_iVal, b_iVal,x_iter6,Kij_Val,COUNTA(Chemicals),$AE$3,$I$5,$I$6,BIPset),2)</f>
        <v>#NAME?</v>
      </c>
      <c r="GP7" t="e">
        <f ca="1">INDEX(AB_Calc(a_iVal, b_iVal,y_iter6,Kij_Val,COUNTA(Chemicals),$AE$3,$I$5,$I$6,BIPset),1)</f>
        <v>#NAME?</v>
      </c>
      <c r="GQ7" t="e">
        <f ca="1">INDEX(AB_Calc(a_iVal, b_iVal,y_iter6,Kij_Val,COUNTA(Chemicals),$AE$3,$I$5,$I$6,BIPset),2)</f>
        <v>#NAME?</v>
      </c>
      <c r="GR7" s="80">
        <f>1</f>
        <v>1</v>
      </c>
      <c r="GS7" s="80" t="e">
        <f ca="1">-(1-GO7)</f>
        <v>#NAME?</v>
      </c>
      <c r="GT7" s="80" t="e">
        <f ca="1">(GN7-(2*GO7)-(3*GO7^2))</f>
        <v>#NAME?</v>
      </c>
      <c r="GU7" s="80" t="e">
        <f ca="1">-(GN7*GO7-(GO7^2)-(GO7^3))</f>
        <v>#NAME?</v>
      </c>
      <c r="GV7" s="1" t="b">
        <f ca="1">IFERROR(INDEX(CardanoMethod(GR7:GU7),1),FALSE)</f>
        <v>0</v>
      </c>
      <c r="GW7" s="1" t="b">
        <f ca="1">IFERROR(INDEX(CardanoMethod(GR7:GU7),2),FALSE)</f>
        <v>0</v>
      </c>
      <c r="GX7" s="1" t="b">
        <f ca="1">IFERROR(INDEX(CardanoMethod(GR7:GU7),3),FALSE)</f>
        <v>0</v>
      </c>
      <c r="GY7" s="82">
        <f ca="1">MIN(GV7:GX7)</f>
        <v>0</v>
      </c>
      <c r="GZ7" s="1" t="e">
        <f ca="1">IF($I7="","",psi_i(a_iVal,x_iter6,$G7,Kij_Val,BIPset,$AE$3,COUNTA(Chemicals)))</f>
        <v>#NAME?</v>
      </c>
      <c r="HA7" s="1" t="e">
        <f ca="1">IF($I7="","",psi_i(a_iVal,y_iter6,$G7,Kij_Val,BIPset,$AE$3,COUNTA(Chemicals)))</f>
        <v>#NAME?</v>
      </c>
      <c r="HB7" s="1" t="e">
        <f ca="1">psiSUM(a_iVal,x_iter6,Kij_Val,BIPset,$AE$3,COUNTA(Chemicals))</f>
        <v>#NAME?</v>
      </c>
      <c r="HC7" s="1" t="str">
        <f ca="1">IFERROR(GL7*$AC7,"")</f>
        <v/>
      </c>
      <c r="HD7" s="1" t="str">
        <f ca="1">IFERROR(GM7*$AC7,"")</f>
        <v/>
      </c>
      <c r="HE7" s="1">
        <f ca="1">SUM(HC7:HC16)</f>
        <v>0</v>
      </c>
      <c r="HF7" s="1" t="e">
        <f ca="1">IF($I7="",0,phi_i($GY$7,$GN$7,$GO$7,AC7,$HE$7,GZ7,$HB$7))</f>
        <v>#NAME?</v>
      </c>
      <c r="HG7" s="1" t="e">
        <f ca="1">IF($I7="",0,phi_i($GY$10,$GP$7,$GQ$7,AC7,$HE$10,HA7,$HB$10))</f>
        <v>#NAME?</v>
      </c>
      <c r="HH7" t="e">
        <f ca="1">IF($I7="",0,HF7*GL7*$I$6)</f>
        <v>#NAME?</v>
      </c>
      <c r="HI7" t="e">
        <f ca="1">IF($I7="",0,HG7*GM7*$I$6)</f>
        <v>#NAME?</v>
      </c>
      <c r="HJ7">
        <f ca="1">IFERROR((1-(HH7/HI7))^2,0)</f>
        <v>0</v>
      </c>
      <c r="HK7" s="89">
        <f ca="1">SUM(HJ7:HJ29)</f>
        <v>0</v>
      </c>
      <c r="HL7" s="86" t="str">
        <f ca="1">IFERROR(HF7/HG7,"")</f>
        <v/>
      </c>
      <c r="HM7" t="e">
        <f ca="1">solveR(HL7:HL16,MF_iVal,COUNTA(Chemicals))</f>
        <v>#NAME?</v>
      </c>
      <c r="HN7" t="str">
        <f ca="1">IFERROR(X_i(HL7,$I7,$HM$7),"")</f>
        <v/>
      </c>
      <c r="HO7" t="str">
        <f ca="1">IFERROR(y_i(HL7,$I7,$HM$7),"")</f>
        <v/>
      </c>
      <c r="HP7" t="e">
        <f ca="1">INDEX(AB_Calc(a_iVal, b_iVal,x_iter6,Kij_Val,COUNTA(Chemicals),$AE$3,$I$5,$I$6,BIPset),1)</f>
        <v>#NAME?</v>
      </c>
      <c r="HQ7" t="e">
        <f ca="1">INDEX(AB_Calc(a_iVal, b_iVal,x_iter6,Kij_Val,COUNTA(Chemicals),$AE$3,$I$5,$I$6,BIPset),2)</f>
        <v>#NAME?</v>
      </c>
      <c r="HR7" t="e">
        <f ca="1">INDEX(AB_Calc(a_iVal, b_iVal,y_iter6,Kij_Val,COUNTA(Chemicals),$AE$3,$I$5,$I$6,BIPset),1)</f>
        <v>#NAME?</v>
      </c>
      <c r="HS7" t="e">
        <f ca="1">INDEX(AB_Calc(a_iVal, b_iVal,y_iter6,Kij_Val,COUNTA(Chemicals),$AE$3,$I$5,$I$6,BIPset),2)</f>
        <v>#NAME?</v>
      </c>
      <c r="HT7" s="80">
        <f>1</f>
        <v>1</v>
      </c>
      <c r="HU7" s="80" t="e">
        <f ca="1">-(1-HQ7)</f>
        <v>#NAME?</v>
      </c>
      <c r="HV7" s="80" t="e">
        <f ca="1">(HP7-(2*HQ7)-(3*HQ7^2))</f>
        <v>#NAME?</v>
      </c>
      <c r="HW7" s="80" t="e">
        <f ca="1">-(HP7*HQ7-(HQ7^2)-(HQ7^3))</f>
        <v>#NAME?</v>
      </c>
      <c r="HX7" s="1" t="b">
        <f ca="1">IFERROR(INDEX(CardanoMethod(HT7:HW7),1),FALSE)</f>
        <v>0</v>
      </c>
      <c r="HY7" s="1" t="b">
        <f ca="1">IFERROR(INDEX(CardanoMethod(HT7:HW7),2),FALSE)</f>
        <v>0</v>
      </c>
      <c r="HZ7" s="1" t="b">
        <f ca="1">IFERROR(INDEX(CardanoMethod(HT7:HW7),3),FALSE)</f>
        <v>0</v>
      </c>
      <c r="IA7" s="82">
        <f ca="1">MIN(HX7:HZ7)</f>
        <v>0</v>
      </c>
      <c r="IB7" s="1" t="e">
        <f ca="1">IF($I7="","",psi_i(a_iVal,x_iter7,$G7,Kij_Val,BIPset,$AE$3,COUNTA(Chemicals)))</f>
        <v>#NAME?</v>
      </c>
      <c r="IC7" s="1" t="e">
        <f ca="1">IF($I7="","",psi_i(a_iVal,y_iter7,$G7,Kij_Val,BIPset,$AE$3,COUNTA(Chemicals)))</f>
        <v>#NAME?</v>
      </c>
      <c r="ID7" s="1" t="e">
        <f ca="1">psiSUM(a_iVal,x_iter7,Kij_Val,BIPset,$AE$3,COUNTA(Chemicals))</f>
        <v>#NAME?</v>
      </c>
      <c r="IE7" s="1" t="str">
        <f ca="1">IFERROR(HN7*$AC7,"")</f>
        <v/>
      </c>
      <c r="IF7" s="1" t="str">
        <f ca="1">IFERROR(HO7*$AC7,"")</f>
        <v/>
      </c>
      <c r="IG7" s="1">
        <f ca="1">SUM(IE7:IE16)</f>
        <v>0</v>
      </c>
      <c r="IH7" s="1" t="e">
        <f ca="1">IF($I7="",0,phi_i($IA$7,$HP$7,$HQ$7,AC7,$IG$7,IB7,$ID$7))</f>
        <v>#NAME?</v>
      </c>
      <c r="II7" s="1" t="e">
        <f ca="1">IF($I7="",0,phi_i($IA$10,$HR$7,$HS$7,AC7,$IG$10,IC7,$ID$10))</f>
        <v>#NAME?</v>
      </c>
      <c r="IJ7" t="e">
        <f ca="1">IF($I7="",0,IH7*HN7*$I$6)</f>
        <v>#NAME?</v>
      </c>
      <c r="IK7" t="e">
        <f ca="1">IF($I7="",0,II7*HO7*$I$6)</f>
        <v>#NAME?</v>
      </c>
      <c r="IL7">
        <f ca="1">IFERROR((1-(IJ7/IK7))^2,0)</f>
        <v>0</v>
      </c>
      <c r="IM7" s="89">
        <f ca="1">SUM(IL7:IL29)</f>
        <v>0</v>
      </c>
      <c r="IN7" s="86" t="str">
        <f ca="1">IFERROR(IH7/II7,"")</f>
        <v/>
      </c>
      <c r="IO7" t="e">
        <f ca="1">solveR(IN7:IN16,MF_iVal,COUNTA(Chemicals))</f>
        <v>#NAME?</v>
      </c>
      <c r="IP7" t="str">
        <f ca="1">IFERROR(X_i(IN7,$I7,$IO$7),"")</f>
        <v/>
      </c>
      <c r="IQ7" t="str">
        <f ca="1">IFERROR(y_i(IN7,$I7,$IO$7),"")</f>
        <v/>
      </c>
      <c r="IR7" t="e">
        <f ca="1">INDEX(AB_Calc(a_iVal, b_iVal,x_iter6,Kij_Val,COUNTA(Chemicals),$AE$3,$I$5,$I$6,BIPset),1)</f>
        <v>#NAME?</v>
      </c>
      <c r="IS7" t="e">
        <f ca="1">INDEX(AB_Calc(a_iVal, b_iVal,x_iter6,Kij_Val,COUNTA(Chemicals),$AE$3,$I$5,$I$6,BIPset),2)</f>
        <v>#NAME?</v>
      </c>
      <c r="IT7" t="e">
        <f ca="1">INDEX(AB_Calc(a_iVal, b_iVal,y_iter6,Kij_Val,COUNTA(Chemicals),$AE$3,$I$5,$I$6,BIPset),1)</f>
        <v>#NAME?</v>
      </c>
      <c r="IU7" t="e">
        <f ca="1">INDEX(AB_Calc(a_iVal, b_iVal,y_iter6,Kij_Val,COUNTA(Chemicals),$AE$3,$I$5,$I$6,BIPset),2)</f>
        <v>#NAME?</v>
      </c>
      <c r="IV7" s="80">
        <f>1</f>
        <v>1</v>
      </c>
      <c r="IW7" s="80" t="e">
        <f ca="1">-(1-IS7)</f>
        <v>#NAME?</v>
      </c>
      <c r="IX7" s="80" t="e">
        <f ca="1">(IR7-(2*IS7)-(3*IS7^2))</f>
        <v>#NAME?</v>
      </c>
      <c r="IY7" s="80" t="e">
        <f ca="1">-(IR7*IS7-(IS7^2)-(IS7^3))</f>
        <v>#NAME?</v>
      </c>
      <c r="IZ7" s="1" t="b">
        <f ca="1">IFERROR(INDEX(CardanoMethod(IV7:IY7),1),FALSE)</f>
        <v>0</v>
      </c>
      <c r="JA7" s="1" t="b">
        <f ca="1">IFERROR(INDEX(CardanoMethod(IV7:IY7),2),FALSE)</f>
        <v>0</v>
      </c>
      <c r="JB7" s="1" t="b">
        <f ca="1">IFERROR(INDEX(CardanoMethod(IV7:IY7),3),FALSE)</f>
        <v>0</v>
      </c>
      <c r="JC7" s="82">
        <f ca="1">MIN(IZ7:JB7)</f>
        <v>0</v>
      </c>
      <c r="JD7" s="1" t="e">
        <f ca="1">IF($I7="","",psi_i(a_iVal,x_iter8,$G7,Kij_Val,BIPset,$AE$3,COUNTA(Chemicals)))</f>
        <v>#NAME?</v>
      </c>
      <c r="JE7" s="1" t="e">
        <f ca="1">IF($I7="","",psi_i(a_iVal,y_iter8,$G7,Kij_Val,BIPset,$AE$3,COUNTA(Chemicals)))</f>
        <v>#NAME?</v>
      </c>
      <c r="JF7" s="1" t="e">
        <f ca="1">psiSUM(a_iVal,x_iter8,Kij_Val,BIPset,$AE$3,COUNTA(Chemicals))</f>
        <v>#NAME?</v>
      </c>
      <c r="JG7" s="1" t="str">
        <f ca="1">IFERROR(IP7*$AC7,"")</f>
        <v/>
      </c>
      <c r="JH7" s="1" t="str">
        <f ca="1">IFERROR(IQ7*$AC7,"")</f>
        <v/>
      </c>
      <c r="JI7" s="1">
        <f ca="1">SUM(JG7:JG16)</f>
        <v>0</v>
      </c>
      <c r="JJ7" s="1" t="e">
        <f ca="1">IF($I7="",0,phi_i($JC$7,$IR$7,$IS$7,AC7,$JI$7,JD7,$JF$7))</f>
        <v>#NAME?</v>
      </c>
      <c r="JK7" s="1" t="e">
        <f ca="1">IF($I7="",0,phi_i($JC$10,$IT$7,$IU$7,AC7,$JI$10,JE7,$JF$10))</f>
        <v>#NAME?</v>
      </c>
      <c r="JL7" t="e">
        <f ca="1">IF($I7="",0,JJ7*IP7*$I$6)</f>
        <v>#NAME?</v>
      </c>
      <c r="JM7" t="e">
        <f ca="1">IF($I7="",0,JK7*IQ7*$I$6)</f>
        <v>#NAME?</v>
      </c>
      <c r="JN7">
        <f ca="1">IFERROR((1-(JL7/JM7))^2,0)</f>
        <v>0</v>
      </c>
      <c r="JO7" s="89">
        <f ca="1">SUM(JN7:JN29)</f>
        <v>0</v>
      </c>
    </row>
    <row r="8" spans="1:275">
      <c r="G8">
        <v>2</v>
      </c>
      <c r="H8" s="6" t="str">
        <f>IF(Wilson!B8="","",Wilson!B8)</f>
        <v>MF Pentane</v>
      </c>
      <c r="I8" s="3">
        <f>IF(Wilson!C8="","",Wilson!C8)</f>
        <v>0.2</v>
      </c>
      <c r="J8" s="109" t="s">
        <v>27</v>
      </c>
      <c r="K8" s="11">
        <v>78.741</v>
      </c>
      <c r="L8" s="11">
        <v>-5420.3</v>
      </c>
      <c r="M8" s="11">
        <v>-8.8253000000000004</v>
      </c>
      <c r="N8" s="12">
        <v>9.6170999999999998E-6</v>
      </c>
      <c r="O8" s="11">
        <v>2</v>
      </c>
      <c r="P8" s="44">
        <v>469.7</v>
      </c>
      <c r="Q8" s="45">
        <v>3360</v>
      </c>
      <c r="R8" s="45">
        <f t="shared" ref="R8:R12" si="1">$I$5/P8</f>
        <v>0.63444751969342139</v>
      </c>
      <c r="S8" s="45">
        <v>0.251</v>
      </c>
      <c r="T8" s="45">
        <v>72.150000000000006</v>
      </c>
      <c r="U8" s="45" t="e">
        <f t="shared" ref="U8:U12" ca="1" si="2">wagnerC($I$5,K8:O8)/1000</f>
        <v>#NAME?</v>
      </c>
      <c r="V8" s="1" t="e">
        <f ca="1">Wilson!J8</f>
        <v>#NAME?</v>
      </c>
      <c r="W8" s="146"/>
      <c r="X8" s="1" t="e">
        <f ca="1">IF(Wilson!M8="","",Wilson!M8)</f>
        <v>#NAME?</v>
      </c>
      <c r="Y8" s="65" t="e">
        <f ca="1">Wilson!N8</f>
        <v>#NAME?</v>
      </c>
      <c r="Z8" s="1">
        <f t="shared" ref="Z8:Z16" si="3">IF(I8=0,0,0.37464 + (1.54226*S8)-(0.2699*S8^2))</f>
        <v>0.74474329009999995</v>
      </c>
      <c r="AA8" s="1" t="e">
        <f t="shared" ref="AA8:AA16" ca="1" si="4">IF(I8=0,0,alpha(S8,R8))</f>
        <v>#NAME?</v>
      </c>
      <c r="AB8" s="1" t="e">
        <f t="shared" ca="1" si="0"/>
        <v>#NAME?</v>
      </c>
      <c r="AC8" s="1" t="e">
        <f t="shared" ref="AC8:AC16" ca="1" si="5">IF(I8=0,0,b_i(P8,Q8))</f>
        <v>#NAME?</v>
      </c>
      <c r="AD8" s="74"/>
      <c r="AE8" s="75"/>
      <c r="AF8" s="75"/>
      <c r="AG8" s="75"/>
      <c r="AH8" s="126" t="s">
        <v>173</v>
      </c>
      <c r="AI8" s="126"/>
      <c r="AJ8" s="126"/>
      <c r="AK8" s="126"/>
      <c r="AL8" s="126"/>
      <c r="AM8" s="126"/>
      <c r="AN8" s="126"/>
      <c r="AO8" s="132"/>
      <c r="AP8" s="1" t="e">
        <f ca="1">IF(I8="","",psi_i(a_iVal,x_iVal,G8,Kij_Val,BIPset,$AE$3,COUNTA(Chemicals)))</f>
        <v>#NAME?</v>
      </c>
      <c r="AQ8" s="1" t="e">
        <f ca="1">IF(I8="","",psi_i(a_iVal,y_iVal, G8,Kij_Val,BIPset,$AE$3,COUNTA(Chemicals)))</f>
        <v>#NAME?</v>
      </c>
      <c r="AR8" s="1"/>
      <c r="AS8" s="1" t="str">
        <f t="shared" ref="AS8:AS29" ca="1" si="6">IFERROR(X8*$AC8,"")</f>
        <v/>
      </c>
      <c r="AT8" s="1" t="str">
        <f t="shared" ref="AT8:AT29" ca="1" si="7">IFERROR(Y8*AC8,"")</f>
        <v/>
      </c>
      <c r="AU8" s="1"/>
      <c r="AV8" s="1" t="e">
        <f ca="1">IF(I8="",0,phi_i($AO$7,$AD$7,$AE$7,AC8,$AU$7,AP8,$AR$7))</f>
        <v>#NAME?</v>
      </c>
      <c r="AW8" s="1" t="e">
        <f ca="1">IF(I8="",0,phi_i($AO$10,$AF$7,$AG$7,AC8,$AU$10,AQ8,$AR$10))</f>
        <v>#NAME?</v>
      </c>
      <c r="AX8" s="1">
        <f ca="1">IFERROR(AV8/AW8,0)</f>
        <v>0</v>
      </c>
      <c r="AY8" s="79"/>
      <c r="AZ8" s="86" t="str">
        <f t="shared" ref="AZ8:AZ16" ca="1" si="8">IFERROR(AV8/AW8,"")</f>
        <v/>
      </c>
      <c r="BB8">
        <f t="shared" ref="BB8:BB16" ca="1" si="9">IFERROR(X_i(AZ8,I8,$BA$7),0)</f>
        <v>0</v>
      </c>
      <c r="BC8">
        <f t="shared" ref="BC8:BC16" ca="1" si="10">IFERROR(y_i(AZ8,I8,$BA$7),0)</f>
        <v>0</v>
      </c>
      <c r="BH8" s="126" t="s">
        <v>173</v>
      </c>
      <c r="BI8" s="126"/>
      <c r="BJ8" s="126"/>
      <c r="BK8" s="126"/>
      <c r="BL8" s="126"/>
      <c r="BM8" s="126"/>
      <c r="BN8" s="126"/>
      <c r="BO8" s="132"/>
      <c r="BP8" s="1" t="e">
        <f ca="1">IF(I8="","",psi_i(a_iVal,x_iter1,G8,Kij_Val,BIPset,$AE$3,COUNTA(Chemicals)))</f>
        <v>#NAME?</v>
      </c>
      <c r="BQ8" s="1" t="e">
        <f ca="1">IF(I8="","",psi_i(a_iVal,y_iter1,G8,Kij_Val,BIPset,$AE$3,COUNTA(Chemicals)))</f>
        <v>#NAME?</v>
      </c>
      <c r="BR8" s="1"/>
      <c r="BS8" s="1" t="e">
        <f t="shared" ref="BS8:BS29" ca="1" si="11">BB8*$AC8</f>
        <v>#NAME?</v>
      </c>
      <c r="BT8" s="1" t="e">
        <f t="shared" ref="BT8:BT29" ca="1" si="12">BC8*$AC8</f>
        <v>#NAME?</v>
      </c>
      <c r="BU8" s="1"/>
      <c r="BV8" s="1" t="e">
        <f ca="1">IF(I8="",0,phi_i($BO$7,$BD$7,$BE$7,AC8,$BU$7,BP8,$BR$7))</f>
        <v>#NAME?</v>
      </c>
      <c r="BW8" s="1" t="e">
        <f ca="1">IF(I8="",0,phi_i($BO$10,$BF$7,$BG$7,AC8,$BU$10,BQ8,$BR$10))</f>
        <v>#NAME?</v>
      </c>
      <c r="BX8" t="e">
        <f t="shared" ref="BX8:BX29" ca="1" si="13">IF(I8="",0,BV8*BB8*$I$6)</f>
        <v>#NAME?</v>
      </c>
      <c r="BY8" t="e">
        <f t="shared" ref="BY8:BY29" ca="1" si="14">IF(I8="",0,BW8*BC8*$I$6)</f>
        <v>#NAME?</v>
      </c>
      <c r="BZ8">
        <f t="shared" ref="BZ8:BZ29" ca="1" si="15">IFERROR((1-(BX8/BY8))^2,0)</f>
        <v>0</v>
      </c>
      <c r="CA8" s="89"/>
      <c r="CB8" s="86" t="str">
        <f t="shared" ref="CB8:CB29" ca="1" si="16">IFERROR(BV8/BW8,"")</f>
        <v/>
      </c>
      <c r="CD8" t="str">
        <f t="shared" ref="CD8:CD29" ca="1" si="17">IFERROR(X_i(CB8,$I8,$CC$7),"")</f>
        <v/>
      </c>
      <c r="CE8" t="str">
        <f t="shared" ref="CE8:CE29" ca="1" si="18">IFERROR(y_i(CB8,$I8,$CC$7),"")</f>
        <v/>
      </c>
      <c r="CJ8" s="126" t="s">
        <v>173</v>
      </c>
      <c r="CK8" s="126"/>
      <c r="CL8" s="126"/>
      <c r="CM8" s="126"/>
      <c r="CN8" s="126"/>
      <c r="CO8" s="126"/>
      <c r="CP8" s="126"/>
      <c r="CQ8" s="132"/>
      <c r="CR8" s="1" t="e">
        <f ca="1">IF($I8="","",psi_i(a_iVal,x_iter2,$G8,Kij_Val,BIPset,$AE$3,COUNTA(Chemicals)))</f>
        <v>#NAME?</v>
      </c>
      <c r="CS8" s="1" t="e">
        <f ca="1">IF($I8="","",psi_i(a_iVal,y_iter2,$G8,Kij_Val,BIPset,$AE$3,COUNTA(Chemicals)))</f>
        <v>#NAME?</v>
      </c>
      <c r="CT8" s="1"/>
      <c r="CU8" s="1" t="str">
        <f t="shared" ref="CU8:CU29" ca="1" si="19">IFERROR(CD8*$AC8,"")</f>
        <v/>
      </c>
      <c r="CV8" s="1" t="str">
        <f t="shared" ref="CV8:CV29" ca="1" si="20">IFERROR(CE8*$AC8,"")</f>
        <v/>
      </c>
      <c r="CW8" s="1"/>
      <c r="CX8" s="1" t="e">
        <f ca="1">IF($I8="",0,phi_i($CQ$7,$CF$7,$CG$7,AC8,$CW$7,CR8,$CT$7))</f>
        <v>#NAME?</v>
      </c>
      <c r="CY8" s="1" t="e">
        <f ca="1">IF($I8="",0,phi_i($CQ$10,$CH$7,$CI$7,AC8,$CW$10,CS8,$CT$10))</f>
        <v>#NAME?</v>
      </c>
      <c r="CZ8" t="e">
        <f t="shared" ref="CZ8:CZ29" ca="1" si="21">IF($I8="",0,CX8*CD8*$I$6)</f>
        <v>#NAME?</v>
      </c>
      <c r="DA8" t="e">
        <f t="shared" ref="DA8:DA29" ca="1" si="22">IF($I8="",0,CY8*CE8*$I$6)</f>
        <v>#NAME?</v>
      </c>
      <c r="DB8">
        <f t="shared" ref="DB8:DB29" ca="1" si="23">IFERROR((1-(CZ8/DA8))^2,0)</f>
        <v>0</v>
      </c>
      <c r="DC8" s="89"/>
      <c r="DD8" s="86" t="str">
        <f t="shared" ref="DD8:DD29" ca="1" si="24">IFERROR(CX8/CY8,"")</f>
        <v/>
      </c>
      <c r="DF8" t="str">
        <f t="shared" ref="DF8:DF29" ca="1" si="25">IFERROR(X_i(DD8,$I8,$DE$7),"")</f>
        <v/>
      </c>
      <c r="DG8" t="str">
        <f t="shared" ref="DG8:DG29" ca="1" si="26">IFERROR(y_i(DD8,$I8,$DE$7),"")</f>
        <v/>
      </c>
      <c r="DL8" s="126" t="s">
        <v>173</v>
      </c>
      <c r="DM8" s="126"/>
      <c r="DN8" s="126"/>
      <c r="DO8" s="126"/>
      <c r="DP8" s="126"/>
      <c r="DQ8" s="126"/>
      <c r="DR8" s="126"/>
      <c r="DS8" s="132"/>
      <c r="DT8" s="1" t="e">
        <f ca="1">IF($I8="","",psi_i(a_iVal,x_iter3,$G8,Kij_Val,BIPset,$AE$3,COUNTA(Chemicals)))</f>
        <v>#NAME?</v>
      </c>
      <c r="DU8" s="1" t="e">
        <f ca="1">IF($I8="","",psi_i(a_iVal,y_iter3,$G8,Kij_Val,BIPset,$AE$3,COUNTA(Chemicals)))</f>
        <v>#NAME?</v>
      </c>
      <c r="DV8" s="1"/>
      <c r="DW8" s="1" t="str">
        <f t="shared" ref="DW8:DW29" ca="1" si="27">IFERROR(DF8*$AC8,"")</f>
        <v/>
      </c>
      <c r="DX8" s="1" t="str">
        <f t="shared" ref="DX8:DX29" ca="1" si="28">IFERROR(DG8*$AC8,"")</f>
        <v/>
      </c>
      <c r="DY8" s="1"/>
      <c r="DZ8" s="1" t="e">
        <f ca="1">IF($I8="",0,phi_i($DS$7,$DH$7,$DI$7,AC8,$DY$7,DT8,$DV$7))</f>
        <v>#NAME?</v>
      </c>
      <c r="EA8" s="1" t="e">
        <f ca="1">IF($I8="",0,phi_i($DS$10,$DJ$7,$DK$7,AC8,$DY$10,DU8,$DV$10))</f>
        <v>#NAME?</v>
      </c>
      <c r="EB8" t="e">
        <f t="shared" ref="EB8:EB29" ca="1" si="29">IF($I8="",0,DZ8*DF8*$I$6)</f>
        <v>#NAME?</v>
      </c>
      <c r="EC8" t="e">
        <f t="shared" ref="EC8:EC29" ca="1" si="30">IF($I8="",0,EA8*DG8*$I$6)</f>
        <v>#NAME?</v>
      </c>
      <c r="ED8">
        <f t="shared" ref="ED8:ED29" ca="1" si="31">IFERROR((1-(EB8/EC8))^2,0)</f>
        <v>0</v>
      </c>
      <c r="EE8" s="89"/>
      <c r="EF8" s="86" t="str">
        <f t="shared" ref="EF8:EF29" ca="1" si="32">IFERROR(DZ8/EA8,"")</f>
        <v/>
      </c>
      <c r="EH8" t="str">
        <f t="shared" ref="EH8:EH29" ca="1" si="33">IFERROR(X_i(EF8,$I8,$EG$7),"")</f>
        <v/>
      </c>
      <c r="EI8" t="str">
        <f t="shared" ref="EI8:EI29" ca="1" si="34">IFERROR(y_i(EF8,$I8,$EG$7),"")</f>
        <v/>
      </c>
      <c r="EN8" s="126" t="s">
        <v>173</v>
      </c>
      <c r="EO8" s="126"/>
      <c r="EP8" s="126"/>
      <c r="EQ8" s="126"/>
      <c r="ER8" s="126"/>
      <c r="ES8" s="126"/>
      <c r="ET8" s="126"/>
      <c r="EU8" s="132"/>
      <c r="EV8" s="1" t="e">
        <f ca="1">IF($I8="","",psi_i(a_iVal,x_iter4,$G8,Kij_Val,BIPset,$AE$3,COUNTA(Chemicals)))</f>
        <v>#NAME?</v>
      </c>
      <c r="EW8" s="1" t="e">
        <f ca="1">IF($I8="","",psi_i(a_iVal,y_iter4,$G8,Kij_Val,BIPset,$AE$3,COUNTA(Chemicals)))</f>
        <v>#NAME?</v>
      </c>
      <c r="EX8" s="1"/>
      <c r="EY8" s="1" t="str">
        <f t="shared" ref="EY8:EY29" ca="1" si="35">IFERROR(EH8*$AC8,"")</f>
        <v/>
      </c>
      <c r="EZ8" s="1" t="str">
        <f t="shared" ref="EZ8:EZ29" ca="1" si="36">IFERROR(EI8*$AC8,"")</f>
        <v/>
      </c>
      <c r="FA8" s="1"/>
      <c r="FB8" s="1" t="e">
        <f ca="1">IF($I8="",0,phi_i($EU$7,$EJ$7,$EK$7,AC8,$FA$7,EV8,$EX$7))</f>
        <v>#NAME?</v>
      </c>
      <c r="FC8" s="1" t="e">
        <f ca="1">IF($I8="",0,phi_i($EU$10,$EL$7,$EM$7,AC8,$FA$10,EW8,$EX$10))</f>
        <v>#NAME?</v>
      </c>
      <c r="FD8" t="e">
        <f t="shared" ref="FD8:FD29" ca="1" si="37">IF($I8="",0,FB8*EH8*$I$6)</f>
        <v>#NAME?</v>
      </c>
      <c r="FE8" t="e">
        <f t="shared" ref="FE8:FE29" ca="1" si="38">IF($I8="",0,FC8*EI8*$I$6)</f>
        <v>#NAME?</v>
      </c>
      <c r="FF8">
        <f t="shared" ref="FF8:FF29" ca="1" si="39">IFERROR((1-(FD8/FE8))^2,0)</f>
        <v>0</v>
      </c>
      <c r="FG8" s="89"/>
      <c r="FH8" s="86" t="str">
        <f t="shared" ref="FH8:FH29" ca="1" si="40">IFERROR(FB8/FC8,"")</f>
        <v/>
      </c>
      <c r="FJ8" t="str">
        <f t="shared" ref="FJ8:FJ29" ca="1" si="41">IFERROR(X_i(FH8,$I8,$FI$7),"")</f>
        <v/>
      </c>
      <c r="FK8" t="str">
        <f t="shared" ref="FK8:FK29" ca="1" si="42">IFERROR(y_i(FH8,$I8,$FI$7),"")</f>
        <v/>
      </c>
      <c r="FP8" s="126" t="s">
        <v>173</v>
      </c>
      <c r="FQ8" s="126"/>
      <c r="FR8" s="126"/>
      <c r="FS8" s="126"/>
      <c r="FT8" s="126"/>
      <c r="FU8" s="126"/>
      <c r="FV8" s="126"/>
      <c r="FW8" s="132"/>
      <c r="FX8" s="1" t="e">
        <f ca="1">IF($I8="","",psi_i(a_iVal,x_iter5,$G8,Kij_Val,BIPset,$AE$3,COUNTA(Chemicals)))</f>
        <v>#NAME?</v>
      </c>
      <c r="FY8" s="1" t="e">
        <f ca="1">IF($I8="","",psi_i(a_iVal,y_iter5,$G8,Kij_Val,BIPset,$AE$3,COUNTA(Chemicals)))</f>
        <v>#NAME?</v>
      </c>
      <c r="FZ8" s="1"/>
      <c r="GA8" s="1" t="str">
        <f t="shared" ref="GA8:GA29" ca="1" si="43">IFERROR(FJ8*$AC8,"")</f>
        <v/>
      </c>
      <c r="GB8" s="1" t="str">
        <f t="shared" ref="GB8:GB29" ca="1" si="44">IFERROR(FK8*$AC8,"")</f>
        <v/>
      </c>
      <c r="GC8" s="1"/>
      <c r="GD8" s="1" t="e">
        <f ca="1">IF($I8="",0,phi_i($FW$7,$FL$7,$FM$7,AC8,$GC$7,FX8,$FZ$7))</f>
        <v>#NAME?</v>
      </c>
      <c r="GE8" s="1" t="e">
        <f ca="1">IF($I8="",0,phi_i($FW$10,$FN$7,$FO$7,AC8,$GC$10,FY8,$FZ$10))</f>
        <v>#NAME?</v>
      </c>
      <c r="GF8" t="e">
        <f t="shared" ref="GF8:GF29" ca="1" si="45">IF($I8="",0,GD8*FJ8*$I$6)</f>
        <v>#NAME?</v>
      </c>
      <c r="GG8" t="e">
        <f t="shared" ref="GG8:GG29" ca="1" si="46">IF($I8="",0,GE8*FK8*$I$6)</f>
        <v>#NAME?</v>
      </c>
      <c r="GH8">
        <f t="shared" ref="GH8:GH29" ca="1" si="47">IFERROR((1-(GF8/GG8))^2,0)</f>
        <v>0</v>
      </c>
      <c r="GI8" s="89"/>
      <c r="GJ8" s="86" t="str">
        <f t="shared" ref="GJ8:GJ29" ca="1" si="48">IFERROR(GD8/GE8,"")</f>
        <v/>
      </c>
      <c r="GL8" t="str">
        <f t="shared" ref="GL8:GL29" ca="1" si="49">IFERROR(X_i(GJ8,$I8,$GK$7),"")</f>
        <v/>
      </c>
      <c r="GM8" t="str">
        <f t="shared" ref="GM8:GM29" ca="1" si="50">IFERROR(y_i(GJ8,$I8,$GK$7),"")</f>
        <v/>
      </c>
      <c r="GR8" s="126" t="s">
        <v>173</v>
      </c>
      <c r="GS8" s="126"/>
      <c r="GT8" s="126"/>
      <c r="GU8" s="126"/>
      <c r="GV8" s="126"/>
      <c r="GW8" s="126"/>
      <c r="GX8" s="126"/>
      <c r="GY8" s="132"/>
      <c r="GZ8" s="1" t="e">
        <f ca="1">IF($I8="","",psi_i(a_iVal,x_iter6,$G8,Kij_Val,BIPset,$AE$3,COUNTA(Chemicals)))</f>
        <v>#NAME?</v>
      </c>
      <c r="HA8" s="1" t="e">
        <f ca="1">IF($I8="","",psi_i(a_iVal,y_iter6,$G8,Kij_Val,BIPset,$AE$3,COUNTA(Chemicals)))</f>
        <v>#NAME?</v>
      </c>
      <c r="HB8" s="1"/>
      <c r="HC8" s="1" t="str">
        <f t="shared" ref="HC8:HC29" ca="1" si="51">IFERROR(GL8*$AC8,"")</f>
        <v/>
      </c>
      <c r="HD8" s="1" t="str">
        <f t="shared" ref="HD8:HD29" ca="1" si="52">IFERROR(GM8*$AC8,"")</f>
        <v/>
      </c>
      <c r="HE8" s="1"/>
      <c r="HF8" s="1" t="e">
        <f ca="1">IF($I8="",0,phi_i($GY$7,$GN$7,$GO$7,AC8,$HE$7,GZ8,$HB$7))</f>
        <v>#NAME?</v>
      </c>
      <c r="HG8" s="1" t="e">
        <f ca="1">IF($I8="",0,phi_i($GY$10,$GP$7,$GQ$7,AC8,$HE$10,HA8,$HB$10))</f>
        <v>#NAME?</v>
      </c>
      <c r="HH8" t="e">
        <f t="shared" ref="HH8:HH29" ca="1" si="53">IF($I8="",0,HF8*GL8*$I$6)</f>
        <v>#NAME?</v>
      </c>
      <c r="HI8" t="e">
        <f t="shared" ref="HI8:HI29" ca="1" si="54">IF($I8="",0,HG8*GM8*$I$6)</f>
        <v>#NAME?</v>
      </c>
      <c r="HJ8">
        <f t="shared" ref="HJ8:HJ29" ca="1" si="55">IFERROR((1-(HH8/HI8))^2,0)</f>
        <v>0</v>
      </c>
      <c r="HK8" s="89"/>
      <c r="HL8" s="86" t="str">
        <f t="shared" ref="HL8:HL29" ca="1" si="56">IFERROR(HF8/HG8,"")</f>
        <v/>
      </c>
      <c r="HN8" t="str">
        <f t="shared" ref="HN8:HN29" ca="1" si="57">IFERROR(X_i(HL8,$I8,$HM$7),"")</f>
        <v/>
      </c>
      <c r="HO8" t="str">
        <f t="shared" ref="HO8:HO29" ca="1" si="58">IFERROR(y_i(HL8,$I8,$HM$7),"")</f>
        <v/>
      </c>
      <c r="HT8" s="126" t="s">
        <v>173</v>
      </c>
      <c r="HU8" s="126"/>
      <c r="HV8" s="126"/>
      <c r="HW8" s="126"/>
      <c r="HX8" s="126"/>
      <c r="HY8" s="126"/>
      <c r="HZ8" s="126"/>
      <c r="IA8" s="132"/>
      <c r="IB8" s="1" t="e">
        <f ca="1">IF($I8="","",psi_i(a_iVal,x_iter7,$G8,Kij_Val,BIPset,$AE$3,COUNTA(Chemicals)))</f>
        <v>#NAME?</v>
      </c>
      <c r="IC8" s="1" t="e">
        <f ca="1">IF($I8="","",psi_i(a_iVal,y_iter7,$G8,Kij_Val,BIPset,$AE$3,COUNTA(Chemicals)))</f>
        <v>#NAME?</v>
      </c>
      <c r="ID8" s="1"/>
      <c r="IE8" s="1" t="str">
        <f t="shared" ref="IE8:IE29" ca="1" si="59">IFERROR(HN8*$AC8,"")</f>
        <v/>
      </c>
      <c r="IF8" s="1" t="str">
        <f t="shared" ref="IF8:IF29" ca="1" si="60">IFERROR(HO8*$AC8,"")</f>
        <v/>
      </c>
      <c r="IG8" s="1"/>
      <c r="IH8" s="1" t="e">
        <f ca="1">IF($I8="",0,phi_i($IA$7,$HP$7,$HQ$7,AC8,$IG$7,IB8,$ID$7))</f>
        <v>#NAME?</v>
      </c>
      <c r="II8" s="1" t="e">
        <f ca="1">IF($I8="",0,phi_i($IA$10,$HR$7,$HS$7,AC8,$IG$10,IC8,$ID$10))</f>
        <v>#NAME?</v>
      </c>
      <c r="IJ8" t="e">
        <f t="shared" ref="IJ8:IJ29" ca="1" si="61">IF($I8="",0,IH8*HN8*$I$6)</f>
        <v>#NAME?</v>
      </c>
      <c r="IK8" t="e">
        <f t="shared" ref="IK8:IK29" ca="1" si="62">IF($I8="",0,II8*HO8*$I$6)</f>
        <v>#NAME?</v>
      </c>
      <c r="IL8">
        <f t="shared" ref="IL8:IL29" ca="1" si="63">IFERROR((1-(IJ8/IK8))^2,0)</f>
        <v>0</v>
      </c>
      <c r="IM8" s="89"/>
      <c r="IN8" s="86" t="str">
        <f t="shared" ref="IN8:IN29" ca="1" si="64">IFERROR(IH8/II8,"")</f>
        <v/>
      </c>
      <c r="IP8" t="str">
        <f t="shared" ref="IP8:IP29" ca="1" si="65">IFERROR(X_i(IN8,$I8,$IO$7),"")</f>
        <v/>
      </c>
      <c r="IQ8" t="str">
        <f t="shared" ref="IQ8:IQ29" ca="1" si="66">IFERROR(y_i(IN8,$I8,$IO$7),"")</f>
        <v/>
      </c>
      <c r="IV8" s="126" t="s">
        <v>173</v>
      </c>
      <c r="IW8" s="126"/>
      <c r="IX8" s="126"/>
      <c r="IY8" s="126"/>
      <c r="IZ8" s="126"/>
      <c r="JA8" s="126"/>
      <c r="JB8" s="126"/>
      <c r="JC8" s="132"/>
      <c r="JD8" s="1" t="e">
        <f ca="1">IF($I8="","",psi_i(a_iVal,x_iter8,$G8,Kij_Val,BIPset,$AE$3,COUNTA(Chemicals)))</f>
        <v>#NAME?</v>
      </c>
      <c r="JE8" s="1" t="e">
        <f ca="1">IF($I8="","",psi_i(a_iVal,y_iter8,$G8,Kij_Val,BIPset,$AE$3,COUNTA(Chemicals)))</f>
        <v>#NAME?</v>
      </c>
      <c r="JF8" s="1"/>
      <c r="JG8" s="1" t="str">
        <f t="shared" ref="JG8:JG29" ca="1" si="67">IFERROR(IP8*$AC8,"")</f>
        <v/>
      </c>
      <c r="JH8" s="1" t="str">
        <f t="shared" ref="JH8:JH29" ca="1" si="68">IFERROR(IQ8*$AC8,"")</f>
        <v/>
      </c>
      <c r="JI8" s="1"/>
      <c r="JJ8" s="1" t="e">
        <f ca="1">IF($I8="",0,phi_i($JC$7,$IR$7,$IS$7,AC8,$JI$7,JD8,$JF$7))</f>
        <v>#NAME?</v>
      </c>
      <c r="JK8" s="1" t="e">
        <f ca="1">IF($I8="",0,phi_i($JC$10,$IT$7,$IU$7,AC8,$JI$10,JE8,$JF$10))</f>
        <v>#NAME?</v>
      </c>
      <c r="JL8" t="e">
        <f t="shared" ref="JL8:JL29" ca="1" si="69">IF($I8="",0,JJ8*IP8*$I$6)</f>
        <v>#NAME?</v>
      </c>
      <c r="JM8" t="e">
        <f t="shared" ref="JM8:JM29" ca="1" si="70">IF($I8="",0,JK8*IQ8*$I$6)</f>
        <v>#NAME?</v>
      </c>
      <c r="JN8">
        <f t="shared" ref="JN8:JN29" ca="1" si="71">IFERROR((1-(JL8/JM8))^2,0)</f>
        <v>0</v>
      </c>
      <c r="JO8" s="89"/>
    </row>
    <row r="9" spans="1:275">
      <c r="A9" s="170" t="s">
        <v>174</v>
      </c>
      <c r="B9" s="170"/>
      <c r="C9" s="170"/>
      <c r="D9" s="170"/>
      <c r="E9" s="170"/>
      <c r="F9" s="170"/>
      <c r="G9">
        <v>3</v>
      </c>
      <c r="H9" s="6" t="str">
        <f>IF(Wilson!B9="","",Wilson!B9)</f>
        <v>MF Hexane</v>
      </c>
      <c r="I9" s="3">
        <f>IF(Wilson!C9="","",Wilson!C9)</f>
        <v>0.2</v>
      </c>
      <c r="J9" s="109" t="s">
        <v>27</v>
      </c>
      <c r="K9" s="11">
        <v>104.65</v>
      </c>
      <c r="L9" s="11">
        <v>-6995.5</v>
      </c>
      <c r="M9" s="11">
        <v>-12.702</v>
      </c>
      <c r="N9" s="12">
        <v>1.2381000000000001E-5</v>
      </c>
      <c r="O9" s="11">
        <v>2</v>
      </c>
      <c r="P9" s="44">
        <v>507.6</v>
      </c>
      <c r="Q9" s="45">
        <v>3040</v>
      </c>
      <c r="R9" s="45">
        <f t="shared" si="1"/>
        <v>0.58707643814026789</v>
      </c>
      <c r="S9" s="45">
        <v>0.30399999999999999</v>
      </c>
      <c r="T9" s="45">
        <v>86.177000000000007</v>
      </c>
      <c r="U9" s="45" t="e">
        <f t="shared" ca="1" si="2"/>
        <v>#NAME?</v>
      </c>
      <c r="V9" s="1" t="e">
        <f ca="1">Wilson!J9</f>
        <v>#NAME?</v>
      </c>
      <c r="W9" s="146"/>
      <c r="X9" s="1" t="e">
        <f ca="1">IF(Wilson!M9="","",Wilson!M9)</f>
        <v>#NAME?</v>
      </c>
      <c r="Y9" s="65" t="e">
        <f ca="1">Wilson!N9</f>
        <v>#NAME?</v>
      </c>
      <c r="Z9" s="1">
        <f t="shared" si="3"/>
        <v>0.81854396159999998</v>
      </c>
      <c r="AA9" s="1" t="e">
        <f t="shared" ca="1" si="4"/>
        <v>#NAME?</v>
      </c>
      <c r="AB9" s="1" t="e">
        <f t="shared" ca="1" si="0"/>
        <v>#NAME?</v>
      </c>
      <c r="AC9" s="1" t="e">
        <f t="shared" ca="1" si="5"/>
        <v>#NAME?</v>
      </c>
      <c r="AD9" s="74"/>
      <c r="AE9" s="75"/>
      <c r="AF9" s="75"/>
      <c r="AG9" s="75"/>
      <c r="AH9" s="117" t="s">
        <v>137</v>
      </c>
      <c r="AI9" s="117" t="s">
        <v>138</v>
      </c>
      <c r="AJ9" s="117" t="s">
        <v>139</v>
      </c>
      <c r="AK9" s="117" t="s">
        <v>140</v>
      </c>
      <c r="AL9" s="53" t="s">
        <v>141</v>
      </c>
      <c r="AM9" s="53" t="s">
        <v>142</v>
      </c>
      <c r="AN9" s="53" t="s">
        <v>143</v>
      </c>
      <c r="AO9" s="81" t="s">
        <v>175</v>
      </c>
      <c r="AP9" s="1" t="e">
        <f ca="1">IF(I9="","",psi_i(a_iVal,x_iVal,G9,Kij_Val,BIPset,$AE$3,COUNTA(Chemicals)))</f>
        <v>#NAME?</v>
      </c>
      <c r="AQ9" s="1" t="e">
        <f ca="1">IF(I9="","",psi_i(a_iVal,y_iVal, G9,Kij_Val,BIPset,$AE$3,COUNTA(Chemicals)))</f>
        <v>#NAME?</v>
      </c>
      <c r="AR9" s="64" t="s">
        <v>176</v>
      </c>
      <c r="AS9" s="1" t="str">
        <f t="shared" ca="1" si="6"/>
        <v/>
      </c>
      <c r="AT9" s="1" t="str">
        <f t="shared" ca="1" si="7"/>
        <v/>
      </c>
      <c r="AU9" s="84" t="s">
        <v>177</v>
      </c>
      <c r="AV9" s="1" t="e">
        <f ca="1">IF(I9="",0,phi_i($AO$7,$AD$7,$AE$7,AC9,$AU$7,AP9,$AR$7))</f>
        <v>#NAME?</v>
      </c>
      <c r="AW9" s="1" t="e">
        <f ca="1">IF(I9="",0,phi_i($AO$10,$AF$7,$AG$7,AC9,$AU$10,AQ9,$AR$10))</f>
        <v>#NAME?</v>
      </c>
      <c r="AX9" s="1">
        <f t="shared" ref="AX9:AX16" ca="1" si="72">IFERROR(AV9/AW9,0)</f>
        <v>0</v>
      </c>
      <c r="AY9" s="79"/>
      <c r="AZ9" s="86" t="str">
        <f t="shared" ca="1" si="8"/>
        <v/>
      </c>
      <c r="BB9">
        <f t="shared" ca="1" si="9"/>
        <v>0</v>
      </c>
      <c r="BC9">
        <f t="shared" ca="1" si="10"/>
        <v>0</v>
      </c>
      <c r="BH9" s="117" t="s">
        <v>137</v>
      </c>
      <c r="BI9" s="117" t="s">
        <v>138</v>
      </c>
      <c r="BJ9" s="117" t="s">
        <v>139</v>
      </c>
      <c r="BK9" s="117" t="s">
        <v>140</v>
      </c>
      <c r="BL9" s="53" t="s">
        <v>141</v>
      </c>
      <c r="BM9" s="53" t="s">
        <v>142</v>
      </c>
      <c r="BN9" s="53" t="s">
        <v>143</v>
      </c>
      <c r="BO9" s="81" t="s">
        <v>175</v>
      </c>
      <c r="BP9" s="1" t="e">
        <f ca="1">IF(I9="","",psi_i(a_iVal,x_iter1,G9,Kij_Val,BIPset,$AE$3,COUNTA(Chemicals)))</f>
        <v>#NAME?</v>
      </c>
      <c r="BQ9" s="1" t="e">
        <f ca="1">IF(I9="","",psi_i(a_iVal,y_iter1,G9,Kij_Val,BIPset,$AE$3,COUNTA(Chemicals)))</f>
        <v>#NAME?</v>
      </c>
      <c r="BR9" s="64" t="s">
        <v>176</v>
      </c>
      <c r="BS9" s="1" t="e">
        <f t="shared" ca="1" si="11"/>
        <v>#NAME?</v>
      </c>
      <c r="BT9" s="1" t="e">
        <f t="shared" ca="1" si="12"/>
        <v>#NAME?</v>
      </c>
      <c r="BU9" s="1" t="s">
        <v>177</v>
      </c>
      <c r="BV9" s="1" t="e">
        <f ca="1">IF(I9="",0,phi_i($BO$7,$BD$7,$BE$7,AC9,$BU$7,BP9,$BR$7))</f>
        <v>#NAME?</v>
      </c>
      <c r="BW9" s="1" t="e">
        <f ca="1">IF(I9="",0,phi_i($BO$10,$BF$7,$BG$7,AC9,$BU$10,BQ9,$BR$10))</f>
        <v>#NAME?</v>
      </c>
      <c r="BX9" t="e">
        <f t="shared" ca="1" si="13"/>
        <v>#NAME?</v>
      </c>
      <c r="BY9" t="e">
        <f t="shared" ca="1" si="14"/>
        <v>#NAME?</v>
      </c>
      <c r="BZ9">
        <f t="shared" ca="1" si="15"/>
        <v>0</v>
      </c>
      <c r="CA9" s="90" t="s">
        <v>178</v>
      </c>
      <c r="CB9" s="86" t="str">
        <f t="shared" ca="1" si="16"/>
        <v/>
      </c>
      <c r="CD9" t="str">
        <f t="shared" ca="1" si="17"/>
        <v/>
      </c>
      <c r="CE9" t="str">
        <f t="shared" ca="1" si="18"/>
        <v/>
      </c>
      <c r="CJ9" s="117" t="s">
        <v>137</v>
      </c>
      <c r="CK9" s="117" t="s">
        <v>138</v>
      </c>
      <c r="CL9" s="117" t="s">
        <v>139</v>
      </c>
      <c r="CM9" s="117" t="s">
        <v>140</v>
      </c>
      <c r="CN9" s="53" t="s">
        <v>141</v>
      </c>
      <c r="CO9" s="53" t="s">
        <v>142</v>
      </c>
      <c r="CP9" s="53" t="s">
        <v>143</v>
      </c>
      <c r="CQ9" s="81" t="s">
        <v>175</v>
      </c>
      <c r="CR9" s="1" t="e">
        <f ca="1">IF($I9="","",psi_i(a_iVal,x_iter2,$G9,Kij_Val,BIPset,$AE$3,COUNTA(Chemicals)))</f>
        <v>#NAME?</v>
      </c>
      <c r="CS9" s="1" t="e">
        <f ca="1">IF($I9="","",psi_i(a_iVal,y_iter2,$G9,Kij_Val,BIPset,$AE$3,COUNTA(Chemicals)))</f>
        <v>#NAME?</v>
      </c>
      <c r="CT9" s="64" t="s">
        <v>176</v>
      </c>
      <c r="CU9" s="1" t="str">
        <f t="shared" ca="1" si="19"/>
        <v/>
      </c>
      <c r="CV9" s="1" t="str">
        <f t="shared" ca="1" si="20"/>
        <v/>
      </c>
      <c r="CW9" s="1" t="s">
        <v>177</v>
      </c>
      <c r="CX9" s="1" t="e">
        <f ca="1">IF($I9="",0,phi_i($CQ$7,$CF$7,$CG$7,AC9,$CW$7,CR9,$CT$7))</f>
        <v>#NAME?</v>
      </c>
      <c r="CY9" s="1" t="e">
        <f ca="1">IF($I9="",0,phi_i($CQ$10,$CH$7,$CI$7,AC9,$CW$10,CS9,$CT$10))</f>
        <v>#NAME?</v>
      </c>
      <c r="CZ9" t="e">
        <f t="shared" ca="1" si="21"/>
        <v>#NAME?</v>
      </c>
      <c r="DA9" t="e">
        <f t="shared" ca="1" si="22"/>
        <v>#NAME?</v>
      </c>
      <c r="DB9">
        <f t="shared" ca="1" si="23"/>
        <v>0</v>
      </c>
      <c r="DC9" s="90" t="s">
        <v>178</v>
      </c>
      <c r="DD9" s="86" t="str">
        <f t="shared" ca="1" si="24"/>
        <v/>
      </c>
      <c r="DF9" t="str">
        <f t="shared" ca="1" si="25"/>
        <v/>
      </c>
      <c r="DG9" t="str">
        <f t="shared" ca="1" si="26"/>
        <v/>
      </c>
      <c r="DL9" s="117" t="s">
        <v>137</v>
      </c>
      <c r="DM9" s="117" t="s">
        <v>138</v>
      </c>
      <c r="DN9" s="117" t="s">
        <v>139</v>
      </c>
      <c r="DO9" s="117" t="s">
        <v>140</v>
      </c>
      <c r="DP9" s="53" t="s">
        <v>141</v>
      </c>
      <c r="DQ9" s="53" t="s">
        <v>142</v>
      </c>
      <c r="DR9" s="53" t="s">
        <v>143</v>
      </c>
      <c r="DS9" s="81" t="s">
        <v>175</v>
      </c>
      <c r="DT9" s="1" t="e">
        <f ca="1">IF($I9="","",psi_i(a_iVal,x_iter3,$G9,Kij_Val,BIPset,$AE$3,COUNTA(Chemicals)))</f>
        <v>#NAME?</v>
      </c>
      <c r="DU9" s="1" t="e">
        <f ca="1">IF($I9="","",psi_i(a_iVal,y_iter3,$G9,Kij_Val,BIPset,$AE$3,COUNTA(Chemicals)))</f>
        <v>#NAME?</v>
      </c>
      <c r="DV9" s="64" t="s">
        <v>176</v>
      </c>
      <c r="DW9" s="1" t="str">
        <f t="shared" ca="1" si="27"/>
        <v/>
      </c>
      <c r="DX9" s="1" t="str">
        <f t="shared" ca="1" si="28"/>
        <v/>
      </c>
      <c r="DY9" s="1" t="s">
        <v>177</v>
      </c>
      <c r="DZ9" s="1" t="e">
        <f ca="1">IF($I9="",0,phi_i($DS$7,$DH$7,$DI$7,AC9,$DY$7,DT9,$DV$7))</f>
        <v>#NAME?</v>
      </c>
      <c r="EA9" s="1" t="e">
        <f ca="1">IF($I9="",0,phi_i($DS$10,$DJ$7,$DK$7,AC9,$DY$10,DU9,$DV$10))</f>
        <v>#NAME?</v>
      </c>
      <c r="EB9" t="e">
        <f t="shared" ca="1" si="29"/>
        <v>#NAME?</v>
      </c>
      <c r="EC9" t="e">
        <f t="shared" ca="1" si="30"/>
        <v>#NAME?</v>
      </c>
      <c r="ED9">
        <f t="shared" ca="1" si="31"/>
        <v>0</v>
      </c>
      <c r="EE9" s="90" t="s">
        <v>178</v>
      </c>
      <c r="EF9" s="86" t="str">
        <f t="shared" ca="1" si="32"/>
        <v/>
      </c>
      <c r="EH9" t="str">
        <f t="shared" ca="1" si="33"/>
        <v/>
      </c>
      <c r="EI9" t="str">
        <f t="shared" ca="1" si="34"/>
        <v/>
      </c>
      <c r="EN9" s="117" t="s">
        <v>137</v>
      </c>
      <c r="EO9" s="117" t="s">
        <v>138</v>
      </c>
      <c r="EP9" s="117" t="s">
        <v>139</v>
      </c>
      <c r="EQ9" s="117" t="s">
        <v>140</v>
      </c>
      <c r="ER9" s="53" t="s">
        <v>141</v>
      </c>
      <c r="ES9" s="53" t="s">
        <v>142</v>
      </c>
      <c r="ET9" s="53" t="s">
        <v>143</v>
      </c>
      <c r="EU9" s="81" t="s">
        <v>175</v>
      </c>
      <c r="EV9" s="1" t="e">
        <f ca="1">IF($I9="","",psi_i(a_iVal,x_iter4,$G9,Kij_Val,BIPset,$AE$3,COUNTA(Chemicals)))</f>
        <v>#NAME?</v>
      </c>
      <c r="EW9" s="1" t="e">
        <f ca="1">IF($I9="","",psi_i(a_iVal,y_iter4,$G9,Kij_Val,BIPset,$AE$3,COUNTA(Chemicals)))</f>
        <v>#NAME?</v>
      </c>
      <c r="EX9" s="64" t="s">
        <v>176</v>
      </c>
      <c r="EY9" s="1" t="str">
        <f t="shared" ca="1" si="35"/>
        <v/>
      </c>
      <c r="EZ9" s="1" t="str">
        <f t="shared" ca="1" si="36"/>
        <v/>
      </c>
      <c r="FA9" s="1" t="s">
        <v>177</v>
      </c>
      <c r="FB9" s="1" t="e">
        <f ca="1">IF($I9="",0,phi_i($EU$7,$EJ$7,$EK$7,AC9,$FA$7,EV9,$EX$7))</f>
        <v>#NAME?</v>
      </c>
      <c r="FC9" s="1" t="e">
        <f ca="1">IF($I9="",0,phi_i($EU$10,$EL$7,$EM$7,AC9,$FA$10,EW9,$EX$10))</f>
        <v>#NAME?</v>
      </c>
      <c r="FD9" t="e">
        <f t="shared" ca="1" si="37"/>
        <v>#NAME?</v>
      </c>
      <c r="FE9" t="e">
        <f t="shared" ca="1" si="38"/>
        <v>#NAME?</v>
      </c>
      <c r="FF9">
        <f t="shared" ca="1" si="39"/>
        <v>0</v>
      </c>
      <c r="FG9" s="90" t="s">
        <v>178</v>
      </c>
      <c r="FH9" s="86" t="str">
        <f t="shared" ca="1" si="40"/>
        <v/>
      </c>
      <c r="FJ9" t="str">
        <f t="shared" ca="1" si="41"/>
        <v/>
      </c>
      <c r="FK9" t="str">
        <f t="shared" ca="1" si="42"/>
        <v/>
      </c>
      <c r="FP9" s="117" t="s">
        <v>137</v>
      </c>
      <c r="FQ9" s="117" t="s">
        <v>138</v>
      </c>
      <c r="FR9" s="117" t="s">
        <v>139</v>
      </c>
      <c r="FS9" s="117" t="s">
        <v>140</v>
      </c>
      <c r="FT9" s="53" t="s">
        <v>141</v>
      </c>
      <c r="FU9" s="53" t="s">
        <v>142</v>
      </c>
      <c r="FV9" s="53" t="s">
        <v>143</v>
      </c>
      <c r="FW9" s="81" t="s">
        <v>175</v>
      </c>
      <c r="FX9" s="1" t="e">
        <f ca="1">IF($I9="","",psi_i(a_iVal,x_iter5,$G9,Kij_Val,BIPset,$AE$3,COUNTA(Chemicals)))</f>
        <v>#NAME?</v>
      </c>
      <c r="FY9" s="1" t="e">
        <f ca="1">IF($I9="","",psi_i(a_iVal,y_iter5,$G9,Kij_Val,BIPset,$AE$3,COUNTA(Chemicals)))</f>
        <v>#NAME?</v>
      </c>
      <c r="FZ9" s="64" t="s">
        <v>176</v>
      </c>
      <c r="GA9" s="1" t="str">
        <f t="shared" ca="1" si="43"/>
        <v/>
      </c>
      <c r="GB9" s="1" t="str">
        <f t="shared" ca="1" si="44"/>
        <v/>
      </c>
      <c r="GC9" s="1" t="s">
        <v>177</v>
      </c>
      <c r="GD9" s="1" t="e">
        <f ca="1">IF($I9="",0,phi_i($FW$7,$FL$7,$FM$7,AC9,$GC$7,FX9,$FZ$7))</f>
        <v>#NAME?</v>
      </c>
      <c r="GE9" s="1" t="e">
        <f ca="1">IF($I9="",0,phi_i($FW$10,$FN$7,$FO$7,AC9,$GC$10,FY9,$FZ$10))</f>
        <v>#NAME?</v>
      </c>
      <c r="GF9" t="e">
        <f t="shared" ca="1" si="45"/>
        <v>#NAME?</v>
      </c>
      <c r="GG9" t="e">
        <f t="shared" ca="1" si="46"/>
        <v>#NAME?</v>
      </c>
      <c r="GH9">
        <f t="shared" ca="1" si="47"/>
        <v>0</v>
      </c>
      <c r="GI9" s="90" t="s">
        <v>178</v>
      </c>
      <c r="GJ9" s="86" t="str">
        <f t="shared" ca="1" si="48"/>
        <v/>
      </c>
      <c r="GL9" t="str">
        <f t="shared" ca="1" si="49"/>
        <v/>
      </c>
      <c r="GM9" t="str">
        <f t="shared" ca="1" si="50"/>
        <v/>
      </c>
      <c r="GR9" s="117" t="s">
        <v>137</v>
      </c>
      <c r="GS9" s="117" t="s">
        <v>138</v>
      </c>
      <c r="GT9" s="117" t="s">
        <v>139</v>
      </c>
      <c r="GU9" s="117" t="s">
        <v>140</v>
      </c>
      <c r="GV9" s="53" t="s">
        <v>141</v>
      </c>
      <c r="GW9" s="53" t="s">
        <v>142</v>
      </c>
      <c r="GX9" s="53" t="s">
        <v>143</v>
      </c>
      <c r="GY9" s="81" t="s">
        <v>175</v>
      </c>
      <c r="GZ9" s="1" t="e">
        <f ca="1">IF($I9="","",psi_i(a_iVal,x_iter6,$G9,Kij_Val,BIPset,$AE$3,COUNTA(Chemicals)))</f>
        <v>#NAME?</v>
      </c>
      <c r="HA9" s="1" t="e">
        <f ca="1">IF($I9="","",psi_i(a_iVal,y_iter6,$G9,Kij_Val,BIPset,$AE$3,COUNTA(Chemicals)))</f>
        <v>#NAME?</v>
      </c>
      <c r="HB9" s="64" t="s">
        <v>176</v>
      </c>
      <c r="HC9" s="1" t="str">
        <f t="shared" ca="1" si="51"/>
        <v/>
      </c>
      <c r="HD9" s="1" t="str">
        <f t="shared" ca="1" si="52"/>
        <v/>
      </c>
      <c r="HE9" s="1" t="s">
        <v>177</v>
      </c>
      <c r="HF9" s="1" t="e">
        <f ca="1">IF($I9="",0,phi_i($GY$7,$GN$7,$GO$7,AC9,$HE$7,GZ9,$HB$7))</f>
        <v>#NAME?</v>
      </c>
      <c r="HG9" s="1" t="e">
        <f ca="1">IF($I9="",0,phi_i($GY$10,$GP$7,$GQ$7,AC9,$HE$10,HA9,$HB$10))</f>
        <v>#NAME?</v>
      </c>
      <c r="HH9" t="e">
        <f t="shared" ca="1" si="53"/>
        <v>#NAME?</v>
      </c>
      <c r="HI9" t="e">
        <f t="shared" ca="1" si="54"/>
        <v>#NAME?</v>
      </c>
      <c r="HJ9">
        <f t="shared" ca="1" si="55"/>
        <v>0</v>
      </c>
      <c r="HK9" s="90" t="s">
        <v>178</v>
      </c>
      <c r="HL9" s="86" t="str">
        <f t="shared" ca="1" si="56"/>
        <v/>
      </c>
      <c r="HN9" t="str">
        <f t="shared" ca="1" si="57"/>
        <v/>
      </c>
      <c r="HO9" t="str">
        <f t="shared" ca="1" si="58"/>
        <v/>
      </c>
      <c r="HT9" s="117" t="s">
        <v>137</v>
      </c>
      <c r="HU9" s="117" t="s">
        <v>138</v>
      </c>
      <c r="HV9" s="117" t="s">
        <v>139</v>
      </c>
      <c r="HW9" s="117" t="s">
        <v>140</v>
      </c>
      <c r="HX9" s="53" t="s">
        <v>141</v>
      </c>
      <c r="HY9" s="53" t="s">
        <v>142</v>
      </c>
      <c r="HZ9" s="53" t="s">
        <v>143</v>
      </c>
      <c r="IA9" s="81" t="s">
        <v>175</v>
      </c>
      <c r="IB9" s="1" t="e">
        <f ca="1">IF($I9="","",psi_i(a_iVal,x_iter7,$G9,Kij_Val,BIPset,$AE$3,COUNTA(Chemicals)))</f>
        <v>#NAME?</v>
      </c>
      <c r="IC9" s="1" t="e">
        <f ca="1">IF($I9="","",psi_i(a_iVal,y_iter7,$G9,Kij_Val,BIPset,$AE$3,COUNTA(Chemicals)))</f>
        <v>#NAME?</v>
      </c>
      <c r="ID9" s="64" t="s">
        <v>176</v>
      </c>
      <c r="IE9" s="1" t="str">
        <f t="shared" ca="1" si="59"/>
        <v/>
      </c>
      <c r="IF9" s="1" t="str">
        <f t="shared" ca="1" si="60"/>
        <v/>
      </c>
      <c r="IG9" s="1" t="s">
        <v>177</v>
      </c>
      <c r="IH9" s="1" t="e">
        <f ca="1">IF($I9="",0,phi_i($IA$7,$HP$7,$HQ$7,AC9,$IG$7,IB9,$ID$7))</f>
        <v>#NAME?</v>
      </c>
      <c r="II9" s="1" t="e">
        <f ca="1">IF($I9="",0,phi_i($IA$10,$HR$7,$HS$7,AC9,$IG$10,IC9,$ID$10))</f>
        <v>#NAME?</v>
      </c>
      <c r="IJ9" t="e">
        <f t="shared" ca="1" si="61"/>
        <v>#NAME?</v>
      </c>
      <c r="IK9" t="e">
        <f t="shared" ca="1" si="62"/>
        <v>#NAME?</v>
      </c>
      <c r="IL9">
        <f t="shared" ca="1" si="63"/>
        <v>0</v>
      </c>
      <c r="IM9" s="90" t="s">
        <v>178</v>
      </c>
      <c r="IN9" s="86" t="str">
        <f t="shared" ca="1" si="64"/>
        <v/>
      </c>
      <c r="IP9" t="str">
        <f t="shared" ca="1" si="65"/>
        <v/>
      </c>
      <c r="IQ9" t="str">
        <f t="shared" ca="1" si="66"/>
        <v/>
      </c>
      <c r="IV9" s="117" t="s">
        <v>137</v>
      </c>
      <c r="IW9" s="117" t="s">
        <v>138</v>
      </c>
      <c r="IX9" s="117" t="s">
        <v>139</v>
      </c>
      <c r="IY9" s="117" t="s">
        <v>140</v>
      </c>
      <c r="IZ9" s="53" t="s">
        <v>141</v>
      </c>
      <c r="JA9" s="53" t="s">
        <v>142</v>
      </c>
      <c r="JB9" s="53" t="s">
        <v>143</v>
      </c>
      <c r="JC9" s="81" t="s">
        <v>175</v>
      </c>
      <c r="JD9" s="1" t="e">
        <f ca="1">IF($I9="","",psi_i(a_iVal,x_iter8,$G9,Kij_Val,BIPset,$AE$3,COUNTA(Chemicals)))</f>
        <v>#NAME?</v>
      </c>
      <c r="JE9" s="1" t="e">
        <f ca="1">IF($I9="","",psi_i(a_iVal,y_iter8,$G9,Kij_Val,BIPset,$AE$3,COUNTA(Chemicals)))</f>
        <v>#NAME?</v>
      </c>
      <c r="JF9" s="64" t="s">
        <v>176</v>
      </c>
      <c r="JG9" s="1" t="str">
        <f t="shared" ca="1" si="67"/>
        <v/>
      </c>
      <c r="JH9" s="1" t="str">
        <f t="shared" ca="1" si="68"/>
        <v/>
      </c>
      <c r="JI9" s="1" t="s">
        <v>177</v>
      </c>
      <c r="JJ9" s="1" t="e">
        <f ca="1">IF($I9="",0,phi_i($JC$7,$IR$7,$IS$7,AC9,$JI$7,JD9,$JF$7))</f>
        <v>#NAME?</v>
      </c>
      <c r="JK9" s="1" t="e">
        <f ca="1">IF($I9="",0,phi_i($JC$10,$IT$7,$IU$7,AC9,$JI$10,JE9,$JF$10))</f>
        <v>#NAME?</v>
      </c>
      <c r="JL9" t="e">
        <f t="shared" ca="1" si="69"/>
        <v>#NAME?</v>
      </c>
      <c r="JM9" t="e">
        <f t="shared" ca="1" si="70"/>
        <v>#NAME?</v>
      </c>
      <c r="JN9">
        <f t="shared" ca="1" si="71"/>
        <v>0</v>
      </c>
      <c r="JO9" s="90" t="s">
        <v>178</v>
      </c>
    </row>
    <row r="10" spans="1:275">
      <c r="A10" s="166" t="s">
        <v>179</v>
      </c>
      <c r="B10" s="167"/>
      <c r="C10" s="167"/>
      <c r="D10" s="167"/>
      <c r="E10" s="167"/>
      <c r="F10" s="168"/>
      <c r="G10">
        <v>4</v>
      </c>
      <c r="H10" s="6" t="str">
        <f>IF(Wilson!B10="","",Wilson!B10)</f>
        <v>MF Cyclohexane</v>
      </c>
      <c r="I10" s="3">
        <f>IF(Wilson!C10="","",Wilson!C10)</f>
        <v>0.2</v>
      </c>
      <c r="J10" s="109" t="s">
        <v>27</v>
      </c>
      <c r="K10" s="11">
        <v>116.51</v>
      </c>
      <c r="L10" s="11">
        <v>-7103.3</v>
      </c>
      <c r="M10" s="11">
        <v>-15.49</v>
      </c>
      <c r="N10" s="12">
        <v>1.6958999999999998E-2</v>
      </c>
      <c r="O10" s="11">
        <v>1</v>
      </c>
      <c r="P10" s="44">
        <v>553.58000000000004</v>
      </c>
      <c r="Q10" s="45">
        <v>4100</v>
      </c>
      <c r="R10" s="45">
        <f t="shared" si="1"/>
        <v>0.53831424545684448</v>
      </c>
      <c r="S10" s="45">
        <v>0.21199999999999999</v>
      </c>
      <c r="T10" s="45">
        <v>84.161000000000001</v>
      </c>
      <c r="U10" s="45" t="e">
        <f t="shared" ca="1" si="2"/>
        <v>#NAME?</v>
      </c>
      <c r="V10" s="1" t="e">
        <f ca="1">Wilson!J10</f>
        <v>#NAME?</v>
      </c>
      <c r="W10" s="146"/>
      <c r="X10" s="1" t="e">
        <f ca="1">IF(Wilson!M10="","",Wilson!M10)</f>
        <v>#NAME?</v>
      </c>
      <c r="Y10" s="65" t="e">
        <f ca="1">Wilson!N10</f>
        <v>#NAME?</v>
      </c>
      <c r="Z10" s="1">
        <f t="shared" si="3"/>
        <v>0.68946873440000001</v>
      </c>
      <c r="AA10" s="1" t="e">
        <f t="shared" ca="1" si="4"/>
        <v>#NAME?</v>
      </c>
      <c r="AB10" s="1" t="e">
        <f t="shared" ca="1" si="0"/>
        <v>#NAME?</v>
      </c>
      <c r="AC10" s="1" t="e">
        <f t="shared" ca="1" si="5"/>
        <v>#NAME?</v>
      </c>
      <c r="AD10" s="74"/>
      <c r="AE10" s="75"/>
      <c r="AF10" s="75"/>
      <c r="AG10" s="75"/>
      <c r="AH10" s="80">
        <f>1</f>
        <v>1</v>
      </c>
      <c r="AI10" s="80" t="e">
        <f ca="1">-(1-AG7)</f>
        <v>#NAME?</v>
      </c>
      <c r="AJ10" s="80" t="e">
        <f ca="1">(AF7-(2*AG7)-(3*AG7^2))</f>
        <v>#NAME?</v>
      </c>
      <c r="AK10" s="80" t="e">
        <f ca="1">-(AF7*AG7-(AG7^2)-(AG7^3))</f>
        <v>#NAME?</v>
      </c>
      <c r="AL10" s="1" t="b">
        <f ca="1">IFERROR(INDEX(CardanoMethod(AH10:AK10),1),FALSE)</f>
        <v>0</v>
      </c>
      <c r="AM10" s="1" t="b">
        <f ca="1">IFERROR(INDEX(CardanoMethod(AH10:AK10),2),FALSE)</f>
        <v>0</v>
      </c>
      <c r="AN10" s="1" t="b">
        <f ca="1">IFERROR(INDEX(CardanoMethod(AH10:AK10),3),FALSE)</f>
        <v>0</v>
      </c>
      <c r="AO10" s="82">
        <f ca="1">MAX(AL10:AN10)</f>
        <v>0</v>
      </c>
      <c r="AP10" s="1" t="e">
        <f ca="1">IF(I10="","",psi_i(a_iVal,x_iVal,G10,Kij_Val,BIPset,$AE$3,COUNTA(Chemicals)))</f>
        <v>#NAME?</v>
      </c>
      <c r="AQ10" s="1" t="e">
        <f ca="1">IF(I10="","",psi_i(a_iVal,y_iVal, G10,Kij_Val,BIPset,$AE$3,COUNTA(Chemicals)))</f>
        <v>#NAME?</v>
      </c>
      <c r="AR10" s="1" t="e">
        <f ca="1">psiSUM(a_iVal,y_iVal,Kij_Val,BIPset,$AE$3,COUNTA(Chemicals))</f>
        <v>#NAME?</v>
      </c>
      <c r="AS10" s="1" t="str">
        <f t="shared" ca="1" si="6"/>
        <v/>
      </c>
      <c r="AT10" s="1" t="str">
        <f t="shared" ca="1" si="7"/>
        <v/>
      </c>
      <c r="AU10" s="1">
        <f ca="1">SUM(AT7:AT16)</f>
        <v>0</v>
      </c>
      <c r="AV10" s="1" t="e">
        <f ca="1">IF(I10="",0,phi_i($AO$7,$AD$7,$AE$7,AC10,$AU$7,AP10,$AR$7))</f>
        <v>#NAME?</v>
      </c>
      <c r="AW10" s="1" t="e">
        <f ca="1">IF(I10="",0,phi_i($AO$10,$AF$7,$AG$7,AC10,$AU$10,AQ10,$AR$10))</f>
        <v>#NAME?</v>
      </c>
      <c r="AX10" s="1">
        <f t="shared" ca="1" si="72"/>
        <v>0</v>
      </c>
      <c r="AY10" s="79"/>
      <c r="AZ10" s="86" t="str">
        <f t="shared" ca="1" si="8"/>
        <v/>
      </c>
      <c r="BB10">
        <f t="shared" ca="1" si="9"/>
        <v>0</v>
      </c>
      <c r="BC10">
        <f t="shared" ca="1" si="10"/>
        <v>0</v>
      </c>
      <c r="BH10" s="80">
        <f>1</f>
        <v>1</v>
      </c>
      <c r="BI10" s="80" t="e">
        <f ca="1">-(1-BG7)</f>
        <v>#NAME?</v>
      </c>
      <c r="BJ10" s="80" t="e">
        <f ca="1">(BF7-(2*BG7)-(3*BG7^2))</f>
        <v>#NAME?</v>
      </c>
      <c r="BK10" s="80" t="e">
        <f ca="1">-(BF7*BG7-(BG7^2)-(BG7^3))</f>
        <v>#NAME?</v>
      </c>
      <c r="BL10" s="1" t="b">
        <f ca="1">IFERROR(INDEX(CardanoMethod(BH10:BK10),1),FALSE)</f>
        <v>0</v>
      </c>
      <c r="BM10" s="1" t="b">
        <f ca="1">IFERROR(INDEX(CardanoMethod(BH10:BK10),2),FALSE)</f>
        <v>0</v>
      </c>
      <c r="BN10" s="1" t="b">
        <f ca="1">IFERROR(INDEX(CardanoMethod(BH10:BK10),3),FALSE)</f>
        <v>0</v>
      </c>
      <c r="BO10" s="82">
        <f ca="1">MAX(BL10:BN10)</f>
        <v>0</v>
      </c>
      <c r="BP10" s="1" t="e">
        <f ca="1">IF(I10="","",psi_i(a_iVal,x_iter1,G10,Kij_Val,BIPset,$AE$3,COUNTA(Chemicals)))</f>
        <v>#NAME?</v>
      </c>
      <c r="BQ10" s="1" t="e">
        <f ca="1">IF(I10="","",psi_i(a_iVal,y_iter1,G10,Kij_Val,BIPset,$AE$3,COUNTA(Chemicals)))</f>
        <v>#NAME?</v>
      </c>
      <c r="BR10" s="1" t="e">
        <f ca="1">psiSUM(a_iVal,y_iter1,Kij_Val,BIPset,$AE$3,COUNTA(Chemicals))</f>
        <v>#NAME?</v>
      </c>
      <c r="BS10" s="1" t="e">
        <f t="shared" ca="1" si="11"/>
        <v>#NAME?</v>
      </c>
      <c r="BT10" s="1" t="e">
        <f t="shared" ca="1" si="12"/>
        <v>#NAME?</v>
      </c>
      <c r="BU10" s="1" t="e">
        <f ca="1">SUM(BT7:BT16)</f>
        <v>#NAME?</v>
      </c>
      <c r="BV10" s="1" t="e">
        <f ca="1">IF(I10="",0,phi_i($BO$7,$BD$7,$BE$7,AC10,$BU$7,BP10,$BR$7))</f>
        <v>#NAME?</v>
      </c>
      <c r="BW10" s="1" t="e">
        <f ca="1">IF(I10="",0,phi_i($BO$10,$BF$7,$BG$7,AC10,$BU$10,BQ10,$BR$10))</f>
        <v>#NAME?</v>
      </c>
      <c r="BX10" t="e">
        <f t="shared" ca="1" si="13"/>
        <v>#NAME?</v>
      </c>
      <c r="BY10" t="e">
        <f t="shared" ca="1" si="14"/>
        <v>#NAME?</v>
      </c>
      <c r="BZ10">
        <f t="shared" ca="1" si="15"/>
        <v>0</v>
      </c>
      <c r="CA10" s="89" t="str">
        <f ca="1">IF(CA7&lt;0.000000001,"Stop Iterating","Keep Iterating")</f>
        <v>Stop Iterating</v>
      </c>
      <c r="CB10" s="86" t="str">
        <f t="shared" ca="1" si="16"/>
        <v/>
      </c>
      <c r="CD10" t="str">
        <f t="shared" ca="1" si="17"/>
        <v/>
      </c>
      <c r="CE10" t="str">
        <f t="shared" ca="1" si="18"/>
        <v/>
      </c>
      <c r="CJ10" s="80">
        <f>1</f>
        <v>1</v>
      </c>
      <c r="CK10" s="80" t="e">
        <f ca="1">-(1-CI7)</f>
        <v>#NAME?</v>
      </c>
      <c r="CL10" s="80" t="e">
        <f ca="1">(CH7-(2*CI7)-(3*CI7^2))</f>
        <v>#NAME?</v>
      </c>
      <c r="CM10" s="80" t="e">
        <f ca="1">-(CH7*CI7-(CI7^2)-(CI7^3))</f>
        <v>#NAME?</v>
      </c>
      <c r="CN10" s="1" t="b">
        <f ca="1">IFERROR(INDEX(CardanoMethod(CJ10:CM10),1),FALSE)</f>
        <v>0</v>
      </c>
      <c r="CO10" s="1" t="b">
        <f ca="1">IFERROR(INDEX(CardanoMethod(CJ10:CM10),2),FALSE)</f>
        <v>0</v>
      </c>
      <c r="CP10" s="1" t="b">
        <f ca="1">IFERROR(INDEX(CardanoMethod(CJ10:CM10),3),FALSE)</f>
        <v>0</v>
      </c>
      <c r="CQ10" s="82">
        <f ca="1">MAX(CN10:CP10)</f>
        <v>0</v>
      </c>
      <c r="CR10" s="1" t="e">
        <f ca="1">IF($I10="","",psi_i(a_iVal,x_iter2,$G10,Kij_Val,BIPset,$AE$3,COUNTA(Chemicals)))</f>
        <v>#NAME?</v>
      </c>
      <c r="CS10" s="1" t="e">
        <f ca="1">IF($I10="","",psi_i(a_iVal,y_iter2,$G10,Kij_Val,BIPset,$AE$3,COUNTA(Chemicals)))</f>
        <v>#NAME?</v>
      </c>
      <c r="CT10" s="1" t="e">
        <f ca="1">psiSUM(a_iVal,y_iter2,Kij_Val,BIPset,$AE$3,COUNTA(Chemicals))</f>
        <v>#NAME?</v>
      </c>
      <c r="CU10" s="1" t="str">
        <f t="shared" ca="1" si="19"/>
        <v/>
      </c>
      <c r="CV10" s="1" t="str">
        <f t="shared" ca="1" si="20"/>
        <v/>
      </c>
      <c r="CW10" s="1">
        <f ca="1">SUM(CV7:CV16)</f>
        <v>0</v>
      </c>
      <c r="CX10" s="1" t="e">
        <f ca="1">IF($I10="",0,phi_i($CQ$7,$CF$7,$CG$7,AC10,$CW$7,CR10,$CT$7))</f>
        <v>#NAME?</v>
      </c>
      <c r="CY10" s="1" t="e">
        <f ca="1">IF($I10="",0,phi_i($CQ$10,$CH$7,$CI$7,AC10,$CW$10,CS10,$CT$10))</f>
        <v>#NAME?</v>
      </c>
      <c r="CZ10" t="e">
        <f t="shared" ca="1" si="21"/>
        <v>#NAME?</v>
      </c>
      <c r="DA10" t="e">
        <f t="shared" ca="1" si="22"/>
        <v>#NAME?</v>
      </c>
      <c r="DB10">
        <f t="shared" ca="1" si="23"/>
        <v>0</v>
      </c>
      <c r="DC10" s="89" t="str">
        <f ca="1">IF(DC7&lt;0.000000001,"Stop Iterating","Keep Iterating")</f>
        <v>Stop Iterating</v>
      </c>
      <c r="DD10" s="86" t="str">
        <f t="shared" ca="1" si="24"/>
        <v/>
      </c>
      <c r="DF10" t="str">
        <f t="shared" ca="1" si="25"/>
        <v/>
      </c>
      <c r="DG10" t="str">
        <f t="shared" ca="1" si="26"/>
        <v/>
      </c>
      <c r="DL10" s="80">
        <f>1</f>
        <v>1</v>
      </c>
      <c r="DM10" s="80" t="e">
        <f ca="1">-(1-DK7)</f>
        <v>#NAME?</v>
      </c>
      <c r="DN10" s="80" t="e">
        <f ca="1">(DJ7-(2*DK7)-(3*DK7^2))</f>
        <v>#NAME?</v>
      </c>
      <c r="DO10" s="80" t="e">
        <f ca="1">-(DJ7*DK7-(DK7^2)-(DK7^3))</f>
        <v>#NAME?</v>
      </c>
      <c r="DP10" s="1" t="b">
        <f ca="1">IFERROR(INDEX(CardanoMethod(DL10:DO10),1),FALSE)</f>
        <v>0</v>
      </c>
      <c r="DQ10" s="1" t="b">
        <f ca="1">IFERROR(INDEX(CardanoMethod(DL10:DO10),2),FALSE)</f>
        <v>0</v>
      </c>
      <c r="DR10" s="1" t="b">
        <f ca="1">IFERROR(INDEX(CardanoMethod(DL10:DO10),3),FALSE)</f>
        <v>0</v>
      </c>
      <c r="DS10" s="82">
        <f ca="1">MAX(DP10:DR10)</f>
        <v>0</v>
      </c>
      <c r="DT10" s="1" t="e">
        <f ca="1">IF($I10="","",psi_i(a_iVal,x_iter3,$G10,Kij_Val,BIPset,$AE$3,COUNTA(Chemicals)))</f>
        <v>#NAME?</v>
      </c>
      <c r="DU10" s="1" t="e">
        <f ca="1">IF($I10="","",psi_i(a_iVal,y_iter3,$G10,Kij_Val,BIPset,$AE$3,COUNTA(Chemicals)))</f>
        <v>#NAME?</v>
      </c>
      <c r="DV10" s="1" t="e">
        <f ca="1">psiSUM(a_iVal,y_iter3,Kij_Val,BIPset,$AE$3,COUNTA(Chemicals))</f>
        <v>#NAME?</v>
      </c>
      <c r="DW10" s="1" t="str">
        <f t="shared" ca="1" si="27"/>
        <v/>
      </c>
      <c r="DX10" s="1" t="str">
        <f t="shared" ca="1" si="28"/>
        <v/>
      </c>
      <c r="DY10" s="1">
        <f ca="1">SUM(DX7:DX16)</f>
        <v>0</v>
      </c>
      <c r="DZ10" s="1" t="e">
        <f ca="1">IF($I10="",0,phi_i($DS$7,$DH$7,$DI$7,AC10,$DY$7,DT10,$DV$7))</f>
        <v>#NAME?</v>
      </c>
      <c r="EA10" s="1" t="e">
        <f ca="1">IF($I10="",0,phi_i($DS$10,$DJ$7,$DK$7,AC10,$DY$10,DU10,$DV$10))</f>
        <v>#NAME?</v>
      </c>
      <c r="EB10" t="e">
        <f t="shared" ca="1" si="29"/>
        <v>#NAME?</v>
      </c>
      <c r="EC10" t="e">
        <f t="shared" ca="1" si="30"/>
        <v>#NAME?</v>
      </c>
      <c r="ED10">
        <f t="shared" ca="1" si="31"/>
        <v>0</v>
      </c>
      <c r="EE10" s="89" t="str">
        <f ca="1">IF(EE7&lt;0.000000001,"Stop Iterating","Keep Iterating")</f>
        <v>Stop Iterating</v>
      </c>
      <c r="EF10" s="86" t="str">
        <f t="shared" ca="1" si="32"/>
        <v/>
      </c>
      <c r="EH10" t="str">
        <f t="shared" ca="1" si="33"/>
        <v/>
      </c>
      <c r="EI10" t="str">
        <f t="shared" ca="1" si="34"/>
        <v/>
      </c>
      <c r="EN10" s="80">
        <f>1</f>
        <v>1</v>
      </c>
      <c r="EO10" s="80" t="e">
        <f ca="1">-(1-EM7)</f>
        <v>#NAME?</v>
      </c>
      <c r="EP10" s="80" t="e">
        <f ca="1">(EL7-(2*EM7)-(3*EM7^2))</f>
        <v>#NAME?</v>
      </c>
      <c r="EQ10" s="80" t="e">
        <f ca="1">-(EL7*EM7-(EM7^2)-(EM7^3))</f>
        <v>#NAME?</v>
      </c>
      <c r="ER10" s="1" t="b">
        <f ca="1">IFERROR(INDEX(CardanoMethod(EN10:EQ10),1),FALSE)</f>
        <v>0</v>
      </c>
      <c r="ES10" s="1" t="b">
        <f ca="1">IFERROR(INDEX(CardanoMethod(EN10:EQ10),2),FALSE)</f>
        <v>0</v>
      </c>
      <c r="ET10" s="1" t="b">
        <f ca="1">IFERROR(INDEX(CardanoMethod(EN10:EQ10),3),FALSE)</f>
        <v>0</v>
      </c>
      <c r="EU10" s="82">
        <f ca="1">MAX(ER10:ET10)</f>
        <v>0</v>
      </c>
      <c r="EV10" s="1" t="e">
        <f ca="1">IF($I10="","",psi_i(a_iVal,x_iter4,$G10,Kij_Val,BIPset,$AE$3,COUNTA(Chemicals)))</f>
        <v>#NAME?</v>
      </c>
      <c r="EW10" s="1" t="e">
        <f ca="1">IF($I10="","",psi_i(a_iVal,y_iter4,$G10,Kij_Val,BIPset,$AE$3,COUNTA(Chemicals)))</f>
        <v>#NAME?</v>
      </c>
      <c r="EX10" s="1" t="e">
        <f ca="1">psiSUM(a_iVal,y_iter4,Kij_Val,BIPset,$AE$3,COUNTA(Chemicals))</f>
        <v>#NAME?</v>
      </c>
      <c r="EY10" s="1" t="str">
        <f t="shared" ca="1" si="35"/>
        <v/>
      </c>
      <c r="EZ10" s="1" t="str">
        <f t="shared" ca="1" si="36"/>
        <v/>
      </c>
      <c r="FA10" s="1">
        <f ca="1">SUM(EZ7:EZ16)</f>
        <v>0</v>
      </c>
      <c r="FB10" s="1" t="e">
        <f ca="1">IF($I10="",0,phi_i($EU$7,$EJ$7,$EK$7,AC10,$FA$7,EV10,$EX$7))</f>
        <v>#NAME?</v>
      </c>
      <c r="FC10" s="1" t="e">
        <f ca="1">IF($I10="",0,phi_i($EU$10,$EL$7,$EM$7,AC10,$FA$10,EW10,$EX$10))</f>
        <v>#NAME?</v>
      </c>
      <c r="FD10" t="e">
        <f t="shared" ca="1" si="37"/>
        <v>#NAME?</v>
      </c>
      <c r="FE10" t="e">
        <f t="shared" ca="1" si="38"/>
        <v>#NAME?</v>
      </c>
      <c r="FF10">
        <f t="shared" ca="1" si="39"/>
        <v>0</v>
      </c>
      <c r="FG10" s="89" t="str">
        <f ca="1">IF(FG7&lt;0.000000001,"Stop Iterating","Keep Iterating")</f>
        <v>Stop Iterating</v>
      </c>
      <c r="FH10" s="86" t="str">
        <f t="shared" ca="1" si="40"/>
        <v/>
      </c>
      <c r="FJ10" t="str">
        <f t="shared" ca="1" si="41"/>
        <v/>
      </c>
      <c r="FK10" t="str">
        <f t="shared" ca="1" si="42"/>
        <v/>
      </c>
      <c r="FP10" s="80">
        <f>1</f>
        <v>1</v>
      </c>
      <c r="FQ10" s="80" t="e">
        <f ca="1">-(1-FO7)</f>
        <v>#NAME?</v>
      </c>
      <c r="FR10" s="80" t="e">
        <f ca="1">(FN7-(2*FO7)-(3*FO7^2))</f>
        <v>#NAME?</v>
      </c>
      <c r="FS10" s="80" t="e">
        <f ca="1">-(FN7*FO7-(FO7^2)-(FO7^3))</f>
        <v>#NAME?</v>
      </c>
      <c r="FT10" s="1" t="b">
        <f ca="1">IFERROR(INDEX(CardanoMethod(FP10:FS10),1),FALSE)</f>
        <v>0</v>
      </c>
      <c r="FU10" s="1" t="b">
        <f ca="1">IFERROR(INDEX(CardanoMethod(FP10:FS10),2),FALSE)</f>
        <v>0</v>
      </c>
      <c r="FV10" s="1" t="b">
        <f ca="1">IFERROR(INDEX(CardanoMethod(FP10:FS10),3),FALSE)</f>
        <v>0</v>
      </c>
      <c r="FW10" s="82">
        <f ca="1">MAX(FT10:FV10)</f>
        <v>0</v>
      </c>
      <c r="FX10" s="1" t="e">
        <f ca="1">IF($I10="","",psi_i(a_iVal,x_iter5,$G10,Kij_Val,BIPset,$AE$3,COUNTA(Chemicals)))</f>
        <v>#NAME?</v>
      </c>
      <c r="FY10" s="1" t="e">
        <f ca="1">IF($I10="","",psi_i(a_iVal,y_iter5,$G10,Kij_Val,BIPset,$AE$3,COUNTA(Chemicals)))</f>
        <v>#NAME?</v>
      </c>
      <c r="FZ10" s="1" t="e">
        <f ca="1">psiSUM(a_iVal,y_iter5,Kij_Val,BIPset,$AE$3,COUNTA(Chemicals))</f>
        <v>#NAME?</v>
      </c>
      <c r="GA10" s="1" t="str">
        <f t="shared" ca="1" si="43"/>
        <v/>
      </c>
      <c r="GB10" s="1" t="str">
        <f t="shared" ca="1" si="44"/>
        <v/>
      </c>
      <c r="GC10" s="1">
        <f ca="1">SUM(GB7:GB16)</f>
        <v>0</v>
      </c>
      <c r="GD10" s="1" t="e">
        <f ca="1">IF($I10="",0,phi_i($FW$7,$FL$7,$FM$7,AC10,$GC$7,FX10,$FZ$7))</f>
        <v>#NAME?</v>
      </c>
      <c r="GE10" s="1" t="e">
        <f ca="1">IF($I10="",0,phi_i($FW$10,$FN$7,$FO$7,AC10,$GC$10,FY10,$FZ$10))</f>
        <v>#NAME?</v>
      </c>
      <c r="GF10" t="e">
        <f t="shared" ca="1" si="45"/>
        <v>#NAME?</v>
      </c>
      <c r="GG10" t="e">
        <f t="shared" ca="1" si="46"/>
        <v>#NAME?</v>
      </c>
      <c r="GH10">
        <f t="shared" ca="1" si="47"/>
        <v>0</v>
      </c>
      <c r="GI10" s="89" t="str">
        <f ca="1">IF(GI7&lt;0.000000001,"Stop Iterating","Keep Iterating")</f>
        <v>Stop Iterating</v>
      </c>
      <c r="GJ10" s="86" t="str">
        <f t="shared" ca="1" si="48"/>
        <v/>
      </c>
      <c r="GL10" t="str">
        <f t="shared" ca="1" si="49"/>
        <v/>
      </c>
      <c r="GM10" t="str">
        <f t="shared" ca="1" si="50"/>
        <v/>
      </c>
      <c r="GR10" s="80">
        <f>1</f>
        <v>1</v>
      </c>
      <c r="GS10" s="80" t="e">
        <f ca="1">-(1-GQ7)</f>
        <v>#NAME?</v>
      </c>
      <c r="GT10" s="80" t="e">
        <f ca="1">(GP7-(2*GQ7)-(3*GQ7^2))</f>
        <v>#NAME?</v>
      </c>
      <c r="GU10" s="80" t="e">
        <f ca="1">-(GP7*GQ7-(GQ7^2)-(GQ7^3))</f>
        <v>#NAME?</v>
      </c>
      <c r="GV10" s="1" t="b">
        <f ca="1">IFERROR(INDEX(CardanoMethod(GR10:GU10),1),FALSE)</f>
        <v>0</v>
      </c>
      <c r="GW10" s="1" t="b">
        <f ca="1">IFERROR(INDEX(CardanoMethod(GR10:GU10),2),FALSE)</f>
        <v>0</v>
      </c>
      <c r="GX10" s="1" t="b">
        <f ca="1">IFERROR(INDEX(CardanoMethod(GR10:GU10),3),FALSE)</f>
        <v>0</v>
      </c>
      <c r="GY10" s="82">
        <f ca="1">MAX(GV10:GX10)</f>
        <v>0</v>
      </c>
      <c r="GZ10" s="1" t="e">
        <f ca="1">IF($I10="","",psi_i(a_iVal,x_iter6,$G10,Kij_Val,BIPset,$AE$3,COUNTA(Chemicals)))</f>
        <v>#NAME?</v>
      </c>
      <c r="HA10" s="1" t="e">
        <f ca="1">IF($I10="","",psi_i(a_iVal,y_iter6,$G10,Kij_Val,BIPset,$AE$3,COUNTA(Chemicals)))</f>
        <v>#NAME?</v>
      </c>
      <c r="HB10" s="1" t="e">
        <f ca="1">psiSUM(a_iVal,y_iter6,Kij_Val,BIPset,$AE$3,COUNTA(Chemicals))</f>
        <v>#NAME?</v>
      </c>
      <c r="HC10" s="1" t="str">
        <f t="shared" ca="1" si="51"/>
        <v/>
      </c>
      <c r="HD10" s="1" t="str">
        <f t="shared" ca="1" si="52"/>
        <v/>
      </c>
      <c r="HE10" s="1">
        <f ca="1">SUM(HD7:HD16)</f>
        <v>0</v>
      </c>
      <c r="HF10" s="1" t="e">
        <f ca="1">IF($I10="",0,phi_i($GY$7,$GN$7,$GO$7,AC10,$HE$7,GZ10,$HB$7))</f>
        <v>#NAME?</v>
      </c>
      <c r="HG10" s="1" t="e">
        <f ca="1">IF($I10="",0,phi_i($GY$10,$GP$7,$GQ$7,AC10,$HE$10,HA10,$HB$10))</f>
        <v>#NAME?</v>
      </c>
      <c r="HH10" t="e">
        <f t="shared" ca="1" si="53"/>
        <v>#NAME?</v>
      </c>
      <c r="HI10" t="e">
        <f t="shared" ca="1" si="54"/>
        <v>#NAME?</v>
      </c>
      <c r="HJ10">
        <f t="shared" ca="1" si="55"/>
        <v>0</v>
      </c>
      <c r="HK10" s="89" t="str">
        <f ca="1">IF(HK7&lt;0.000000001,"Stop Iterating","Keep Iterating")</f>
        <v>Stop Iterating</v>
      </c>
      <c r="HL10" s="86" t="str">
        <f t="shared" ca="1" si="56"/>
        <v/>
      </c>
      <c r="HN10" t="str">
        <f t="shared" ca="1" si="57"/>
        <v/>
      </c>
      <c r="HO10" t="str">
        <f t="shared" ca="1" si="58"/>
        <v/>
      </c>
      <c r="HT10" s="80">
        <f>1</f>
        <v>1</v>
      </c>
      <c r="HU10" s="80" t="e">
        <f ca="1">-(1-HS7)</f>
        <v>#NAME?</v>
      </c>
      <c r="HV10" s="80" t="e">
        <f ca="1">(HR7-(2*HS7)-(3*HS7^2))</f>
        <v>#NAME?</v>
      </c>
      <c r="HW10" s="80" t="e">
        <f ca="1">-(HR7*HS7-(HS7^2)-(HS7^3))</f>
        <v>#NAME?</v>
      </c>
      <c r="HX10" s="1" t="b">
        <f ca="1">IFERROR(INDEX(CardanoMethod(HT10:HW10),1),FALSE)</f>
        <v>0</v>
      </c>
      <c r="HY10" s="1" t="b">
        <f ca="1">IFERROR(INDEX(CardanoMethod(HT10:HW10),2),FALSE)</f>
        <v>0</v>
      </c>
      <c r="HZ10" s="1" t="b">
        <f ca="1">IFERROR(INDEX(CardanoMethod(HT10:HW10),3),FALSE)</f>
        <v>0</v>
      </c>
      <c r="IA10" s="82">
        <f ca="1">MAX(HX10:HZ10)</f>
        <v>0</v>
      </c>
      <c r="IB10" s="1" t="e">
        <f ca="1">IF($I10="","",psi_i(a_iVal,x_iter7,$G10,Kij_Val,BIPset,$AE$3,COUNTA(Chemicals)))</f>
        <v>#NAME?</v>
      </c>
      <c r="IC10" s="1" t="e">
        <f ca="1">IF($I10="","",psi_i(a_iVal,y_iter7,$G10,Kij_Val,BIPset,$AE$3,COUNTA(Chemicals)))</f>
        <v>#NAME?</v>
      </c>
      <c r="ID10" s="1" t="e">
        <f ca="1">psiSUM(a_iVal,y_iter7,Kij_Val,BIPset,$AE$3,COUNTA(Chemicals))</f>
        <v>#NAME?</v>
      </c>
      <c r="IE10" s="1" t="str">
        <f t="shared" ca="1" si="59"/>
        <v/>
      </c>
      <c r="IF10" s="1" t="str">
        <f t="shared" ca="1" si="60"/>
        <v/>
      </c>
      <c r="IG10" s="1">
        <f ca="1">SUM(IF7:IF16)</f>
        <v>0</v>
      </c>
      <c r="IH10" s="1" t="e">
        <f ca="1">IF($I10="",0,phi_i($IA$7,$HP$7,$HQ$7,AC10,$IG$7,IB10,$ID$7))</f>
        <v>#NAME?</v>
      </c>
      <c r="II10" s="1" t="e">
        <f ca="1">IF($I10="",0,phi_i($IA$10,$HR$7,$HS$7,AC10,$IG$10,IC10,$ID$10))</f>
        <v>#NAME?</v>
      </c>
      <c r="IJ10" t="e">
        <f t="shared" ca="1" si="61"/>
        <v>#NAME?</v>
      </c>
      <c r="IK10" t="e">
        <f t="shared" ca="1" si="62"/>
        <v>#NAME?</v>
      </c>
      <c r="IL10">
        <f t="shared" ca="1" si="63"/>
        <v>0</v>
      </c>
      <c r="IM10" s="89" t="str">
        <f ca="1">IF(IM7&lt;0.000000001,"Stop Iterating","Keep Iterating")</f>
        <v>Stop Iterating</v>
      </c>
      <c r="IN10" s="86" t="str">
        <f t="shared" ca="1" si="64"/>
        <v/>
      </c>
      <c r="IP10" t="str">
        <f t="shared" ca="1" si="65"/>
        <v/>
      </c>
      <c r="IQ10" t="str">
        <f t="shared" ca="1" si="66"/>
        <v/>
      </c>
      <c r="IV10" s="80">
        <f>1</f>
        <v>1</v>
      </c>
      <c r="IW10" s="80" t="e">
        <f ca="1">-(1-IU7)</f>
        <v>#NAME?</v>
      </c>
      <c r="IX10" s="80" t="e">
        <f ca="1">(IT7-(2*IU7)-(3*IU7^2))</f>
        <v>#NAME?</v>
      </c>
      <c r="IY10" s="80" t="e">
        <f ca="1">-(IT7*IU7-(IU7^2)-(IU7^3))</f>
        <v>#NAME?</v>
      </c>
      <c r="IZ10" s="1" t="b">
        <f ca="1">IFERROR(INDEX(CardanoMethod(IV10:IY10),1),FALSE)</f>
        <v>0</v>
      </c>
      <c r="JA10" s="1" t="b">
        <f ca="1">IFERROR(INDEX(CardanoMethod(IV10:IY10),2),FALSE)</f>
        <v>0</v>
      </c>
      <c r="JB10" s="1" t="b">
        <f ca="1">IFERROR(INDEX(CardanoMethod(IV10:IY10),3),FALSE)</f>
        <v>0</v>
      </c>
      <c r="JC10" s="82">
        <f ca="1">MAX(IZ10:JB10)</f>
        <v>0</v>
      </c>
      <c r="JD10" s="1" t="e">
        <f ca="1">IF($I10="","",psi_i(a_iVal,x_iter8,$G10,Kij_Val,BIPset,$AE$3,COUNTA(Chemicals)))</f>
        <v>#NAME?</v>
      </c>
      <c r="JE10" s="1" t="e">
        <f ca="1">IF($I10="","",psi_i(a_iVal,y_iter8,$G10,Kij_Val,BIPset,$AE$3,COUNTA(Chemicals)))</f>
        <v>#NAME?</v>
      </c>
      <c r="JF10" s="1" t="e">
        <f ca="1">psiSUM(a_iVal,y_iter8,Kij_Val,BIPset,$AE$3,COUNTA(Chemicals))</f>
        <v>#NAME?</v>
      </c>
      <c r="JG10" s="1" t="str">
        <f t="shared" ca="1" si="67"/>
        <v/>
      </c>
      <c r="JH10" s="1" t="str">
        <f t="shared" ca="1" si="68"/>
        <v/>
      </c>
      <c r="JI10" s="1">
        <f ca="1">SUM(JH7:JH16)</f>
        <v>0</v>
      </c>
      <c r="JJ10" s="1" t="e">
        <f ca="1">IF($I10="",0,phi_i($JC$7,$IR$7,$IS$7,AC10,$JI$7,JD10,$JF$7))</f>
        <v>#NAME?</v>
      </c>
      <c r="JK10" s="1" t="e">
        <f ca="1">IF($I10="",0,phi_i($JC$10,$IT$7,$IU$7,AC10,$JI$10,JE10,$JF$10))</f>
        <v>#NAME?</v>
      </c>
      <c r="JL10" t="e">
        <f t="shared" ca="1" si="69"/>
        <v>#NAME?</v>
      </c>
      <c r="JM10" t="e">
        <f t="shared" ca="1" si="70"/>
        <v>#NAME?</v>
      </c>
      <c r="JN10">
        <f t="shared" ca="1" si="71"/>
        <v>0</v>
      </c>
      <c r="JO10" s="89" t="str">
        <f ca="1">IF(JO7&lt;0.000000001,"Stop Iterating","Keep Iterating")</f>
        <v>Stop Iterating</v>
      </c>
    </row>
    <row r="11" spans="1:275">
      <c r="A11" s="162" t="s">
        <v>180</v>
      </c>
      <c r="B11" s="162"/>
      <c r="C11" s="163"/>
      <c r="D11" s="164" t="s">
        <v>181</v>
      </c>
      <c r="E11" s="165"/>
      <c r="F11" s="165"/>
      <c r="G11">
        <v>5</v>
      </c>
      <c r="H11" s="6" t="str">
        <f>IF(Wilson!B11="","",Wilson!B11)</f>
        <v>MF Water</v>
      </c>
      <c r="I11" s="3">
        <f>IF(Wilson!C11="","",Wilson!C11)</f>
        <v>0.1</v>
      </c>
      <c r="J11" s="109" t="s">
        <v>27</v>
      </c>
      <c r="K11" s="11">
        <v>73.649000000000001</v>
      </c>
      <c r="L11" s="11">
        <v>-7258.2</v>
      </c>
      <c r="M11" s="11">
        <v>-7.3037000000000001</v>
      </c>
      <c r="N11" s="12">
        <v>4.1652999999999997E-6</v>
      </c>
      <c r="O11" s="11">
        <v>2</v>
      </c>
      <c r="P11" s="44">
        <v>647.13</v>
      </c>
      <c r="Q11" s="45">
        <v>21940</v>
      </c>
      <c r="R11" s="45">
        <f t="shared" si="1"/>
        <v>0.46049480011744165</v>
      </c>
      <c r="S11" s="45">
        <v>0.34300000000000003</v>
      </c>
      <c r="T11" s="45">
        <v>18.015000000000001</v>
      </c>
      <c r="U11" s="45" t="e">
        <f t="shared" ca="1" si="2"/>
        <v>#NAME?</v>
      </c>
      <c r="V11" s="1" t="e">
        <f ca="1">Wilson!J11</f>
        <v>#NAME?</v>
      </c>
      <c r="W11" s="146"/>
      <c r="X11" s="1" t="e">
        <f ca="1">IF(Wilson!M11="","",Wilson!M11)</f>
        <v>#NAME?</v>
      </c>
      <c r="Y11" s="65" t="e">
        <f ca="1">Wilson!N11</f>
        <v>#NAME?</v>
      </c>
      <c r="Z11" s="1">
        <f t="shared" si="3"/>
        <v>0.87188171489999999</v>
      </c>
      <c r="AA11" s="1" t="e">
        <f t="shared" ca="1" si="4"/>
        <v>#NAME?</v>
      </c>
      <c r="AB11" s="1" t="e">
        <f t="shared" ca="1" si="0"/>
        <v>#NAME?</v>
      </c>
      <c r="AC11" s="1" t="e">
        <f t="shared" ca="1" si="5"/>
        <v>#NAME?</v>
      </c>
      <c r="AD11" s="74"/>
      <c r="AE11" s="75"/>
      <c r="AF11" s="75"/>
      <c r="AG11" s="75"/>
      <c r="AP11" s="1" t="e">
        <f ca="1">IF(I11="","",psi_i(a_iVal,x_iVal,G11,Kij_Val,BIPset,$AE$3,COUNTA(Chemicals)))</f>
        <v>#NAME?</v>
      </c>
      <c r="AQ11" s="1" t="e">
        <f ca="1">IF(I11="","",psi_i(a_iVal,y_iVal, G11,Kij_Val,BIPset,$AE$3,COUNTA(Chemicals)))</f>
        <v>#NAME?</v>
      </c>
      <c r="AR11" s="1"/>
      <c r="AS11" s="1" t="str">
        <f t="shared" ca="1" si="6"/>
        <v/>
      </c>
      <c r="AT11" s="1" t="str">
        <f t="shared" ca="1" si="7"/>
        <v/>
      </c>
      <c r="AU11" s="1"/>
      <c r="AV11" s="1" t="e">
        <f ca="1">IF(I11="",0,phi_i($AO$7,$AD$7,$AE$7,AC11,$AU$7,AP11,$AR$7))</f>
        <v>#NAME?</v>
      </c>
      <c r="AW11" s="1" t="e">
        <f ca="1">IF(I11="",0,phi_i($AO$10,$AF$7,$AG$7,AC11,$AU$10,AQ11,$AR$10))</f>
        <v>#NAME?</v>
      </c>
      <c r="AX11" s="1">
        <f t="shared" ca="1" si="72"/>
        <v>0</v>
      </c>
      <c r="AY11" s="79"/>
      <c r="AZ11" s="86" t="str">
        <f t="shared" ca="1" si="8"/>
        <v/>
      </c>
      <c r="BB11">
        <f t="shared" ca="1" si="9"/>
        <v>0</v>
      </c>
      <c r="BC11">
        <f t="shared" ca="1" si="10"/>
        <v>0</v>
      </c>
      <c r="BP11" s="1" t="e">
        <f ca="1">IF(I11="","",psi_i(a_iVal,x_iter1,G11,Kij_Val,BIPset,$AE$3,COUNTA(Chemicals)))</f>
        <v>#NAME?</v>
      </c>
      <c r="BQ11" s="1" t="e">
        <f ca="1">IF(I11="","",psi_i(a_iVal,y_iter1,G11,Kij_Val,BIPset,$AE$3,COUNTA(Chemicals)))</f>
        <v>#NAME?</v>
      </c>
      <c r="BR11" s="1"/>
      <c r="BS11" s="1" t="e">
        <f t="shared" ca="1" si="11"/>
        <v>#NAME?</v>
      </c>
      <c r="BT11" s="1" t="e">
        <f t="shared" ca="1" si="12"/>
        <v>#NAME?</v>
      </c>
      <c r="BU11" s="1"/>
      <c r="BV11" s="1" t="e">
        <f ca="1">IF(I11="",0,phi_i($BO$7,$BD$7,$BE$7,AC11,$BU$7,BP11,$BR$7))</f>
        <v>#NAME?</v>
      </c>
      <c r="BW11" s="1" t="e">
        <f ca="1">IF(I11="",0,phi_i($BO$10,$BF$7,$BG$7,AC11,$BU$10,BQ11,$BR$10))</f>
        <v>#NAME?</v>
      </c>
      <c r="BX11" t="e">
        <f t="shared" ca="1" si="13"/>
        <v>#NAME?</v>
      </c>
      <c r="BY11" t="e">
        <f t="shared" ca="1" si="14"/>
        <v>#NAME?</v>
      </c>
      <c r="BZ11">
        <f t="shared" ca="1" si="15"/>
        <v>0</v>
      </c>
      <c r="CA11" s="89"/>
      <c r="CB11" s="86" t="str">
        <f t="shared" ca="1" si="16"/>
        <v/>
      </c>
      <c r="CD11" t="str">
        <f t="shared" ca="1" si="17"/>
        <v/>
      </c>
      <c r="CE11" t="str">
        <f t="shared" ca="1" si="18"/>
        <v/>
      </c>
      <c r="CR11" s="1" t="e">
        <f ca="1">IF($I11="","",psi_i(a_iVal,x_iter2,$G11,Kij_Val,BIPset,$AE$3,COUNTA(Chemicals)))</f>
        <v>#NAME?</v>
      </c>
      <c r="CS11" s="1" t="e">
        <f ca="1">IF($I11="","",psi_i(a_iVal,y_iter2,$G11,Kij_Val,BIPset,$AE$3,COUNTA(Chemicals)))</f>
        <v>#NAME?</v>
      </c>
      <c r="CT11" s="1"/>
      <c r="CU11" s="1" t="str">
        <f t="shared" ca="1" si="19"/>
        <v/>
      </c>
      <c r="CV11" s="1" t="str">
        <f t="shared" ca="1" si="20"/>
        <v/>
      </c>
      <c r="CW11" s="1"/>
      <c r="CX11" s="1" t="e">
        <f ca="1">IF($I11="",0,phi_i($CQ$7,$CF$7,$CG$7,AC11,$CW$7,CR11,$CT$7))</f>
        <v>#NAME?</v>
      </c>
      <c r="CY11" s="1" t="e">
        <f ca="1">IF($I11="",0,phi_i($CQ$10,$CH$7,$CI$7,AC11,$CW$10,CS11,$CT$10))</f>
        <v>#NAME?</v>
      </c>
      <c r="CZ11" t="e">
        <f t="shared" ca="1" si="21"/>
        <v>#NAME?</v>
      </c>
      <c r="DA11" t="e">
        <f t="shared" ca="1" si="22"/>
        <v>#NAME?</v>
      </c>
      <c r="DB11">
        <f t="shared" ca="1" si="23"/>
        <v>0</v>
      </c>
      <c r="DC11" s="89"/>
      <c r="DD11" s="86" t="str">
        <f t="shared" ca="1" si="24"/>
        <v/>
      </c>
      <c r="DF11" t="str">
        <f t="shared" ca="1" si="25"/>
        <v/>
      </c>
      <c r="DG11" t="str">
        <f t="shared" ca="1" si="26"/>
        <v/>
      </c>
      <c r="DT11" s="1" t="e">
        <f ca="1">IF($I11="","",psi_i(a_iVal,x_iter3,$G11,Kij_Val,BIPset,$AE$3,COUNTA(Chemicals)))</f>
        <v>#NAME?</v>
      </c>
      <c r="DU11" s="1" t="e">
        <f ca="1">IF($I11="","",psi_i(a_iVal,y_iter3,$G11,Kij_Val,BIPset,$AE$3,COUNTA(Chemicals)))</f>
        <v>#NAME?</v>
      </c>
      <c r="DV11" s="1"/>
      <c r="DW11" s="1" t="str">
        <f t="shared" ca="1" si="27"/>
        <v/>
      </c>
      <c r="DX11" s="1" t="str">
        <f t="shared" ca="1" si="28"/>
        <v/>
      </c>
      <c r="DY11" s="1"/>
      <c r="DZ11" s="1" t="e">
        <f ca="1">IF($I11="",0,phi_i($DS$7,$DH$7,$DI$7,AC11,$DY$7,DT11,$DV$7))</f>
        <v>#NAME?</v>
      </c>
      <c r="EA11" s="1" t="e">
        <f ca="1">IF($I11="",0,phi_i($DS$10,$DJ$7,$DK$7,AC11,$DY$10,DU11,$DV$10))</f>
        <v>#NAME?</v>
      </c>
      <c r="EB11" t="e">
        <f t="shared" ca="1" si="29"/>
        <v>#NAME?</v>
      </c>
      <c r="EC11" t="e">
        <f t="shared" ca="1" si="30"/>
        <v>#NAME?</v>
      </c>
      <c r="ED11">
        <f t="shared" ca="1" si="31"/>
        <v>0</v>
      </c>
      <c r="EE11" s="89"/>
      <c r="EF11" s="86" t="str">
        <f t="shared" ca="1" si="32"/>
        <v/>
      </c>
      <c r="EH11" t="str">
        <f t="shared" ca="1" si="33"/>
        <v/>
      </c>
      <c r="EI11" t="str">
        <f t="shared" ca="1" si="34"/>
        <v/>
      </c>
      <c r="EV11" s="1" t="e">
        <f ca="1">IF($I11="","",psi_i(a_iVal,x_iter4,$G11,Kij_Val,BIPset,$AE$3,COUNTA(Chemicals)))</f>
        <v>#NAME?</v>
      </c>
      <c r="EW11" s="1" t="e">
        <f ca="1">IF($I11="","",psi_i(a_iVal,y_iter4,$G11,Kij_Val,BIPset,$AE$3,COUNTA(Chemicals)))</f>
        <v>#NAME?</v>
      </c>
      <c r="EX11" s="1"/>
      <c r="EY11" s="1" t="str">
        <f t="shared" ca="1" si="35"/>
        <v/>
      </c>
      <c r="EZ11" s="1" t="str">
        <f t="shared" ca="1" si="36"/>
        <v/>
      </c>
      <c r="FA11" s="1"/>
      <c r="FB11" s="1" t="e">
        <f ca="1">IF($I11="",0,phi_i($EU$7,$EJ$7,$EK$7,AC11,$FA$7,EV11,$EX$7))</f>
        <v>#NAME?</v>
      </c>
      <c r="FC11" s="1" t="e">
        <f ca="1">IF($I11="",0,phi_i($EU$10,$EL$7,$EM$7,AC11,$FA$10,EW11,$EX$10))</f>
        <v>#NAME?</v>
      </c>
      <c r="FD11" t="e">
        <f t="shared" ca="1" si="37"/>
        <v>#NAME?</v>
      </c>
      <c r="FE11" t="e">
        <f t="shared" ca="1" si="38"/>
        <v>#NAME?</v>
      </c>
      <c r="FF11">
        <f t="shared" ca="1" si="39"/>
        <v>0</v>
      </c>
      <c r="FG11" s="89"/>
      <c r="FH11" s="86" t="str">
        <f t="shared" ca="1" si="40"/>
        <v/>
      </c>
      <c r="FJ11" t="str">
        <f t="shared" ca="1" si="41"/>
        <v/>
      </c>
      <c r="FK11" t="str">
        <f t="shared" ca="1" si="42"/>
        <v/>
      </c>
      <c r="FX11" s="1" t="e">
        <f ca="1">IF($I11="","",psi_i(a_iVal,x_iter5,$G11,Kij_Val,BIPset,$AE$3,COUNTA(Chemicals)))</f>
        <v>#NAME?</v>
      </c>
      <c r="FY11" s="1" t="e">
        <f ca="1">IF($I11="","",psi_i(a_iVal,y_iter5,$G11,Kij_Val,BIPset,$AE$3,COUNTA(Chemicals)))</f>
        <v>#NAME?</v>
      </c>
      <c r="FZ11" s="1"/>
      <c r="GA11" s="1" t="str">
        <f t="shared" ca="1" si="43"/>
        <v/>
      </c>
      <c r="GB11" s="1" t="str">
        <f t="shared" ca="1" si="44"/>
        <v/>
      </c>
      <c r="GC11" s="1"/>
      <c r="GD11" s="1" t="e">
        <f ca="1">IF($I11="",0,phi_i($FW$7,$FL$7,$FM$7,AC11,$GC$7,FX11,$FZ$7))</f>
        <v>#NAME?</v>
      </c>
      <c r="GE11" s="1" t="e">
        <f ca="1">IF($I11="",0,phi_i($FW$10,$FN$7,$FO$7,AC11,$GC$10,FY11,$FZ$10))</f>
        <v>#NAME?</v>
      </c>
      <c r="GF11" t="e">
        <f t="shared" ca="1" si="45"/>
        <v>#NAME?</v>
      </c>
      <c r="GG11" t="e">
        <f t="shared" ca="1" si="46"/>
        <v>#NAME?</v>
      </c>
      <c r="GH11">
        <f t="shared" ca="1" si="47"/>
        <v>0</v>
      </c>
      <c r="GI11" s="89"/>
      <c r="GJ11" s="86" t="str">
        <f t="shared" ca="1" si="48"/>
        <v/>
      </c>
      <c r="GL11" t="str">
        <f t="shared" ca="1" si="49"/>
        <v/>
      </c>
      <c r="GM11" t="str">
        <f t="shared" ca="1" si="50"/>
        <v/>
      </c>
      <c r="GZ11" s="1" t="e">
        <f ca="1">IF($I11="","",psi_i(a_iVal,x_iter6,$G11,Kij_Val,BIPset,$AE$3,COUNTA(Chemicals)))</f>
        <v>#NAME?</v>
      </c>
      <c r="HA11" s="1" t="e">
        <f ca="1">IF($I11="","",psi_i(a_iVal,y_iter6,$G11,Kij_Val,BIPset,$AE$3,COUNTA(Chemicals)))</f>
        <v>#NAME?</v>
      </c>
      <c r="HB11" s="1"/>
      <c r="HC11" s="1" t="str">
        <f t="shared" ca="1" si="51"/>
        <v/>
      </c>
      <c r="HD11" s="1" t="str">
        <f t="shared" ca="1" si="52"/>
        <v/>
      </c>
      <c r="HE11" s="1"/>
      <c r="HF11" s="1" t="e">
        <f ca="1">IF($I11="",0,phi_i($GY$7,$GN$7,$GO$7,AC11,$HE$7,GZ11,$HB$7))</f>
        <v>#NAME?</v>
      </c>
      <c r="HG11" s="1" t="e">
        <f ca="1">IF($I11="",0,phi_i($GY$10,$GP$7,$GQ$7,AC11,$HE$10,HA11,$HB$10))</f>
        <v>#NAME?</v>
      </c>
      <c r="HH11" t="e">
        <f t="shared" ca="1" si="53"/>
        <v>#NAME?</v>
      </c>
      <c r="HI11" t="e">
        <f t="shared" ca="1" si="54"/>
        <v>#NAME?</v>
      </c>
      <c r="HJ11">
        <f t="shared" ca="1" si="55"/>
        <v>0</v>
      </c>
      <c r="HK11" s="89"/>
      <c r="HL11" s="86" t="str">
        <f t="shared" ca="1" si="56"/>
        <v/>
      </c>
      <c r="HN11" t="str">
        <f t="shared" ca="1" si="57"/>
        <v/>
      </c>
      <c r="HO11" t="str">
        <f t="shared" ca="1" si="58"/>
        <v/>
      </c>
      <c r="IB11" s="1" t="e">
        <f ca="1">IF($I11="","",psi_i(a_iVal,x_iter7,$G11,Kij_Val,BIPset,$AE$3,COUNTA(Chemicals)))</f>
        <v>#NAME?</v>
      </c>
      <c r="IC11" s="1" t="e">
        <f ca="1">IF($I11="","",psi_i(a_iVal,y_iter7,$G11,Kij_Val,BIPset,$AE$3,COUNTA(Chemicals)))</f>
        <v>#NAME?</v>
      </c>
      <c r="ID11" s="1"/>
      <c r="IE11" s="1" t="str">
        <f t="shared" ca="1" si="59"/>
        <v/>
      </c>
      <c r="IF11" s="1" t="str">
        <f t="shared" ca="1" si="60"/>
        <v/>
      </c>
      <c r="IG11" s="1"/>
      <c r="IH11" s="1" t="e">
        <f ca="1">IF($I11="",0,phi_i($IA$7,$HP$7,$HQ$7,AC11,$IG$7,IB11,$ID$7))</f>
        <v>#NAME?</v>
      </c>
      <c r="II11" s="1" t="e">
        <f ca="1">IF($I11="",0,phi_i($IA$10,$HR$7,$HS$7,AC11,$IG$10,IC11,$ID$10))</f>
        <v>#NAME?</v>
      </c>
      <c r="IJ11" t="e">
        <f t="shared" ca="1" si="61"/>
        <v>#NAME?</v>
      </c>
      <c r="IK11" t="e">
        <f t="shared" ca="1" si="62"/>
        <v>#NAME?</v>
      </c>
      <c r="IL11">
        <f t="shared" ca="1" si="63"/>
        <v>0</v>
      </c>
      <c r="IM11" s="89"/>
      <c r="IN11" s="86" t="str">
        <f t="shared" ca="1" si="64"/>
        <v/>
      </c>
      <c r="IP11" t="str">
        <f t="shared" ca="1" si="65"/>
        <v/>
      </c>
      <c r="IQ11" t="str">
        <f t="shared" ca="1" si="66"/>
        <v/>
      </c>
      <c r="JD11" s="1" t="e">
        <f ca="1">IF($I11="","",psi_i(a_iVal,x_iter8,$G11,Kij_Val,BIPset,$AE$3,COUNTA(Chemicals)))</f>
        <v>#NAME?</v>
      </c>
      <c r="JE11" s="1" t="e">
        <f ca="1">IF($I11="","",psi_i(a_iVal,y_iter8,$G11,Kij_Val,BIPset,$AE$3,COUNTA(Chemicals)))</f>
        <v>#NAME?</v>
      </c>
      <c r="JF11" s="1"/>
      <c r="JG11" s="1" t="str">
        <f t="shared" ca="1" si="67"/>
        <v/>
      </c>
      <c r="JH11" s="1" t="str">
        <f t="shared" ca="1" si="68"/>
        <v/>
      </c>
      <c r="JI11" s="1"/>
      <c r="JJ11" s="1" t="e">
        <f ca="1">IF($I11="",0,phi_i($JC$7,$IR$7,$IS$7,AC11,$JI$7,JD11,$JF$7))</f>
        <v>#NAME?</v>
      </c>
      <c r="JK11" s="1" t="e">
        <f ca="1">IF($I11="",0,phi_i($JC$10,$IT$7,$IU$7,AC11,$JI$10,JE11,$JF$10))</f>
        <v>#NAME?</v>
      </c>
      <c r="JL11" t="e">
        <f t="shared" ca="1" si="69"/>
        <v>#NAME?</v>
      </c>
      <c r="JM11" t="e">
        <f t="shared" ca="1" si="70"/>
        <v>#NAME?</v>
      </c>
      <c r="JN11">
        <f t="shared" ca="1" si="71"/>
        <v>0</v>
      </c>
      <c r="JO11" s="89"/>
    </row>
    <row r="12" spans="1:275">
      <c r="A12" s="98" t="s">
        <v>6</v>
      </c>
      <c r="B12" s="98" t="s">
        <v>4</v>
      </c>
      <c r="C12" s="99" t="s">
        <v>5</v>
      </c>
      <c r="D12" s="100" t="s">
        <v>6</v>
      </c>
      <c r="E12" s="98" t="s">
        <v>4</v>
      </c>
      <c r="F12" s="98" t="s">
        <v>5</v>
      </c>
      <c r="G12">
        <v>6</v>
      </c>
      <c r="H12" s="6" t="str">
        <f>IF(Wilson!B12="","",Wilson!B12)</f>
        <v>MF Nitrogen (NC)</v>
      </c>
      <c r="I12" s="3">
        <f>IF(Wilson!C12="","",Wilson!C12)</f>
        <v>0.1</v>
      </c>
      <c r="J12" s="47" t="s">
        <v>27</v>
      </c>
      <c r="K12" s="56">
        <v>58.281999999999996</v>
      </c>
      <c r="L12" s="56">
        <v>-1084.0999999999999</v>
      </c>
      <c r="M12" s="56">
        <v>-8.3143999999999991</v>
      </c>
      <c r="N12" s="57">
        <v>4.4127E-2</v>
      </c>
      <c r="O12" s="56">
        <v>1</v>
      </c>
      <c r="P12" s="58">
        <v>126.2</v>
      </c>
      <c r="Q12" s="59">
        <v>3390</v>
      </c>
      <c r="R12" s="45">
        <f t="shared" si="1"/>
        <v>2.3613312202852614</v>
      </c>
      <c r="S12" s="59">
        <v>3.6999999999999998E-2</v>
      </c>
      <c r="T12" s="59">
        <v>28.013999999999999</v>
      </c>
      <c r="U12" s="59" t="e">
        <f t="shared" ca="1" si="2"/>
        <v>#NAME?</v>
      </c>
      <c r="V12" s="1" t="e">
        <f ca="1">Wilson!J12</f>
        <v>#NAME?</v>
      </c>
      <c r="W12" s="146"/>
      <c r="X12" s="1" t="e">
        <f ca="1">IF(Wilson!M12="","",Wilson!M12)</f>
        <v>#NAME?</v>
      </c>
      <c r="Y12" s="65" t="e">
        <f ca="1">Wilson!N12</f>
        <v>#NAME?</v>
      </c>
      <c r="Z12" s="1">
        <f t="shared" si="3"/>
        <v>0.43133412689999995</v>
      </c>
      <c r="AA12" s="1" t="e">
        <f t="shared" ca="1" si="4"/>
        <v>#NAME?</v>
      </c>
      <c r="AB12" s="1" t="e">
        <f t="shared" ca="1" si="0"/>
        <v>#NAME?</v>
      </c>
      <c r="AC12" s="1" t="e">
        <f t="shared" ca="1" si="5"/>
        <v>#NAME?</v>
      </c>
      <c r="AD12" s="74"/>
      <c r="AE12" s="75"/>
      <c r="AF12" s="75"/>
      <c r="AG12" s="75"/>
      <c r="AP12" s="1" t="e">
        <f ca="1">IF(I12="","",psi_i(a_iVal,x_iVal,G12,Kij_Val,BIPset,$AE$3,COUNTA(Chemicals)))</f>
        <v>#NAME?</v>
      </c>
      <c r="AQ12" s="1" t="e">
        <f ca="1">IF(I12="","",psi_i(a_iVal,y_iVal, G12,Kij_Val,BIPset,$AE$3,COUNTA(Chemicals)))</f>
        <v>#NAME?</v>
      </c>
      <c r="AR12" s="1"/>
      <c r="AS12" s="1" t="str">
        <f t="shared" ca="1" si="6"/>
        <v/>
      </c>
      <c r="AT12" s="1" t="str">
        <f t="shared" ca="1" si="7"/>
        <v/>
      </c>
      <c r="AU12" s="1"/>
      <c r="AV12" s="1" t="e">
        <f ca="1">IF(I12="",0,phi_i($AO$7,$AD$7,$AE$7,AC12,$AU$7,AP12,$AR$7))</f>
        <v>#NAME?</v>
      </c>
      <c r="AW12" s="1" t="e">
        <f ca="1">IF(I12="",0,phi_i($AO$10,$AF$7,$AG$7,AC12,$AU$10,AQ12,$AR$10))</f>
        <v>#NAME?</v>
      </c>
      <c r="AX12" s="1">
        <f t="shared" ca="1" si="72"/>
        <v>0</v>
      </c>
      <c r="AY12" s="79"/>
      <c r="AZ12" s="86" t="str">
        <f t="shared" ca="1" si="8"/>
        <v/>
      </c>
      <c r="BB12">
        <f t="shared" ca="1" si="9"/>
        <v>0</v>
      </c>
      <c r="BC12">
        <f t="shared" ca="1" si="10"/>
        <v>0</v>
      </c>
      <c r="BP12" s="1" t="e">
        <f ca="1">IF(I12="","",psi_i(a_iVal,x_iter1,G12,Kij_Val,BIPset,$AE$3,COUNTA(Chemicals)))</f>
        <v>#NAME?</v>
      </c>
      <c r="BQ12" s="1" t="e">
        <f ca="1">IF(I12="","",psi_i(a_iVal,y_iter1,G12,Kij_Val,BIPset,$AE$3,COUNTA(Chemicals)))</f>
        <v>#NAME?</v>
      </c>
      <c r="BR12" s="1"/>
      <c r="BS12" s="1" t="e">
        <f t="shared" ca="1" si="11"/>
        <v>#NAME?</v>
      </c>
      <c r="BT12" s="1" t="e">
        <f t="shared" ca="1" si="12"/>
        <v>#NAME?</v>
      </c>
      <c r="BU12" s="1"/>
      <c r="BV12" s="1" t="e">
        <f ca="1">IF(I12="",0,phi_i($BO$7,$BD$7,$BE$7,AC12,$BU$7,BP12,$BR$7))</f>
        <v>#NAME?</v>
      </c>
      <c r="BW12" s="1" t="e">
        <f ca="1">IF(I12="",0,phi_i($BO$10,$BF$7,$BG$7,AC12,$BU$10,BQ12,$BR$10))</f>
        <v>#NAME?</v>
      </c>
      <c r="BX12" t="e">
        <f t="shared" ca="1" si="13"/>
        <v>#NAME?</v>
      </c>
      <c r="BY12" t="e">
        <f t="shared" ca="1" si="14"/>
        <v>#NAME?</v>
      </c>
      <c r="BZ12">
        <f t="shared" ca="1" si="15"/>
        <v>0</v>
      </c>
      <c r="CA12" s="89"/>
      <c r="CB12" s="86" t="str">
        <f t="shared" ca="1" si="16"/>
        <v/>
      </c>
      <c r="CD12" t="str">
        <f t="shared" ca="1" si="17"/>
        <v/>
      </c>
      <c r="CE12" t="str">
        <f t="shared" ca="1" si="18"/>
        <v/>
      </c>
      <c r="CR12" s="1" t="e">
        <f ca="1">IF($I12="","",psi_i(a_iVal,x_iter2,$G12,Kij_Val,BIPset,$AE$3,COUNTA(Chemicals)))</f>
        <v>#NAME?</v>
      </c>
      <c r="CS12" s="1" t="e">
        <f ca="1">IF($I12="","",psi_i(a_iVal,y_iter2,$G12,Kij_Val,BIPset,$AE$3,COUNTA(Chemicals)))</f>
        <v>#NAME?</v>
      </c>
      <c r="CT12" s="1"/>
      <c r="CU12" s="1" t="str">
        <f t="shared" ca="1" si="19"/>
        <v/>
      </c>
      <c r="CV12" s="1" t="str">
        <f t="shared" ca="1" si="20"/>
        <v/>
      </c>
      <c r="CW12" s="1"/>
      <c r="CX12" s="1" t="e">
        <f ca="1">IF($I12="",0,phi_i($CQ$7,$CF$7,$CG$7,AC12,$CW$7,CR12,$CT$7))</f>
        <v>#NAME?</v>
      </c>
      <c r="CY12" s="1" t="e">
        <f ca="1">IF($I12="",0,phi_i($CQ$10,$CH$7,$CI$7,AC12,$CW$10,CS12,$CT$10))</f>
        <v>#NAME?</v>
      </c>
      <c r="CZ12" t="e">
        <f t="shared" ca="1" si="21"/>
        <v>#NAME?</v>
      </c>
      <c r="DA12" t="e">
        <f t="shared" ca="1" si="22"/>
        <v>#NAME?</v>
      </c>
      <c r="DB12">
        <f t="shared" ca="1" si="23"/>
        <v>0</v>
      </c>
      <c r="DC12" s="89"/>
      <c r="DD12" s="86" t="str">
        <f t="shared" ca="1" si="24"/>
        <v/>
      </c>
      <c r="DF12" t="str">
        <f t="shared" ca="1" si="25"/>
        <v/>
      </c>
      <c r="DG12" t="str">
        <f t="shared" ca="1" si="26"/>
        <v/>
      </c>
      <c r="DT12" s="1" t="e">
        <f ca="1">IF($I12="","",psi_i(a_iVal,x_iter3,$G12,Kij_Val,BIPset,$AE$3,COUNTA(Chemicals)))</f>
        <v>#NAME?</v>
      </c>
      <c r="DU12" s="1" t="e">
        <f ca="1">IF($I12="","",psi_i(a_iVal,y_iter3,$G12,Kij_Val,BIPset,$AE$3,COUNTA(Chemicals)))</f>
        <v>#NAME?</v>
      </c>
      <c r="DV12" s="1"/>
      <c r="DW12" s="1" t="str">
        <f t="shared" ca="1" si="27"/>
        <v/>
      </c>
      <c r="DX12" s="1" t="str">
        <f t="shared" ca="1" si="28"/>
        <v/>
      </c>
      <c r="DY12" s="1"/>
      <c r="DZ12" s="1" t="e">
        <f ca="1">IF($I12="",0,phi_i($DS$7,$DH$7,$DI$7,AC12,$DY$7,DT12,$DV$7))</f>
        <v>#NAME?</v>
      </c>
      <c r="EA12" s="1" t="e">
        <f ca="1">IF($I12="",0,phi_i($DS$10,$DJ$7,$DK$7,AC12,$DY$10,DU12,$DV$10))</f>
        <v>#NAME?</v>
      </c>
      <c r="EB12" t="e">
        <f t="shared" ca="1" si="29"/>
        <v>#NAME?</v>
      </c>
      <c r="EC12" t="e">
        <f t="shared" ca="1" si="30"/>
        <v>#NAME?</v>
      </c>
      <c r="ED12">
        <f t="shared" ca="1" si="31"/>
        <v>0</v>
      </c>
      <c r="EE12" s="89"/>
      <c r="EF12" s="86" t="str">
        <f t="shared" ca="1" si="32"/>
        <v/>
      </c>
      <c r="EH12" t="str">
        <f t="shared" ca="1" si="33"/>
        <v/>
      </c>
      <c r="EI12" t="str">
        <f t="shared" ca="1" si="34"/>
        <v/>
      </c>
      <c r="EV12" s="1" t="e">
        <f ca="1">IF($I12="","",psi_i(a_iVal,x_iter4,$G12,Kij_Val,BIPset,$AE$3,COUNTA(Chemicals)))</f>
        <v>#NAME?</v>
      </c>
      <c r="EW12" s="1" t="e">
        <f ca="1">IF($I12="","",psi_i(a_iVal,y_iter4,$G12,Kij_Val,BIPset,$AE$3,COUNTA(Chemicals)))</f>
        <v>#NAME?</v>
      </c>
      <c r="EX12" s="1"/>
      <c r="EY12" s="1" t="str">
        <f t="shared" ca="1" si="35"/>
        <v/>
      </c>
      <c r="EZ12" s="1" t="str">
        <f t="shared" ca="1" si="36"/>
        <v/>
      </c>
      <c r="FA12" s="1"/>
      <c r="FB12" s="1" t="e">
        <f ca="1">IF($I12="",0,phi_i($EU$7,$EJ$7,$EK$7,AC12,$FA$7,EV12,$EX$7))</f>
        <v>#NAME?</v>
      </c>
      <c r="FC12" s="1" t="e">
        <f ca="1">IF($I12="",0,phi_i($EU$10,$EL$7,$EM$7,AC12,$FA$10,EW12,$EX$10))</f>
        <v>#NAME?</v>
      </c>
      <c r="FD12" t="e">
        <f t="shared" ca="1" si="37"/>
        <v>#NAME?</v>
      </c>
      <c r="FE12" t="e">
        <f t="shared" ca="1" si="38"/>
        <v>#NAME?</v>
      </c>
      <c r="FF12">
        <f t="shared" ca="1" si="39"/>
        <v>0</v>
      </c>
      <c r="FG12" s="89"/>
      <c r="FH12" s="86" t="str">
        <f t="shared" ca="1" si="40"/>
        <v/>
      </c>
      <c r="FJ12" t="str">
        <f t="shared" ca="1" si="41"/>
        <v/>
      </c>
      <c r="FK12" t="str">
        <f t="shared" ca="1" si="42"/>
        <v/>
      </c>
      <c r="FX12" s="1" t="e">
        <f ca="1">IF($I12="","",psi_i(a_iVal,x_iter5,$G12,Kij_Val,BIPset,$AE$3,COUNTA(Chemicals)))</f>
        <v>#NAME?</v>
      </c>
      <c r="FY12" s="1" t="e">
        <f ca="1">IF($I12="","",psi_i(a_iVal,y_iter5,$G12,Kij_Val,BIPset,$AE$3,COUNTA(Chemicals)))</f>
        <v>#NAME?</v>
      </c>
      <c r="FZ12" s="1"/>
      <c r="GA12" s="1" t="str">
        <f t="shared" ca="1" si="43"/>
        <v/>
      </c>
      <c r="GB12" s="1" t="str">
        <f t="shared" ca="1" si="44"/>
        <v/>
      </c>
      <c r="GC12" s="1"/>
      <c r="GD12" s="1" t="e">
        <f ca="1">IF($I12="",0,phi_i($FW$7,$FL$7,$FM$7,AC12,$GC$7,FX12,$FZ$7))</f>
        <v>#NAME?</v>
      </c>
      <c r="GE12" s="1" t="e">
        <f ca="1">IF($I12="",0,phi_i($FW$10,$FN$7,$FO$7,AC12,$GC$10,FY12,$FZ$10))</f>
        <v>#NAME?</v>
      </c>
      <c r="GF12" t="e">
        <f t="shared" ca="1" si="45"/>
        <v>#NAME?</v>
      </c>
      <c r="GG12" t="e">
        <f t="shared" ca="1" si="46"/>
        <v>#NAME?</v>
      </c>
      <c r="GH12">
        <f t="shared" ca="1" si="47"/>
        <v>0</v>
      </c>
      <c r="GI12" s="89"/>
      <c r="GJ12" s="86" t="str">
        <f t="shared" ca="1" si="48"/>
        <v/>
      </c>
      <c r="GL12" t="str">
        <f t="shared" ca="1" si="49"/>
        <v/>
      </c>
      <c r="GM12" t="str">
        <f t="shared" ca="1" si="50"/>
        <v/>
      </c>
      <c r="GZ12" s="1" t="e">
        <f ca="1">IF($I12="","",psi_i(a_iVal,x_iter6,$G12,Kij_Val,BIPset,$AE$3,COUNTA(Chemicals)))</f>
        <v>#NAME?</v>
      </c>
      <c r="HA12" s="1" t="e">
        <f ca="1">IF($I12="","",psi_i(a_iVal,y_iter6,$G12,Kij_Val,BIPset,$AE$3,COUNTA(Chemicals)))</f>
        <v>#NAME?</v>
      </c>
      <c r="HB12" s="1"/>
      <c r="HC12" s="1" t="str">
        <f t="shared" ca="1" si="51"/>
        <v/>
      </c>
      <c r="HD12" s="1" t="str">
        <f t="shared" ca="1" si="52"/>
        <v/>
      </c>
      <c r="HE12" s="1"/>
      <c r="HF12" s="1" t="e">
        <f ca="1">IF($I12="",0,phi_i($GY$7,$GN$7,$GO$7,AC12,$HE$7,GZ12,$HB$7))</f>
        <v>#NAME?</v>
      </c>
      <c r="HG12" s="1" t="e">
        <f ca="1">IF($I12="",0,phi_i($GY$10,$GP$7,$GQ$7,AC12,$HE$10,HA12,$HB$10))</f>
        <v>#NAME?</v>
      </c>
      <c r="HH12" t="e">
        <f t="shared" ca="1" si="53"/>
        <v>#NAME?</v>
      </c>
      <c r="HI12" t="e">
        <f t="shared" ca="1" si="54"/>
        <v>#NAME?</v>
      </c>
      <c r="HJ12">
        <f t="shared" ca="1" si="55"/>
        <v>0</v>
      </c>
      <c r="HK12" s="89"/>
      <c r="HL12" s="86" t="str">
        <f t="shared" ca="1" si="56"/>
        <v/>
      </c>
      <c r="HN12" t="str">
        <f t="shared" ca="1" si="57"/>
        <v/>
      </c>
      <c r="HO12" t="str">
        <f t="shared" ca="1" si="58"/>
        <v/>
      </c>
      <c r="IB12" s="1" t="e">
        <f ca="1">IF($I12="","",psi_i(a_iVal,x_iter7,$G12,Kij_Val,BIPset,$AE$3,COUNTA(Chemicals)))</f>
        <v>#NAME?</v>
      </c>
      <c r="IC12" s="1" t="e">
        <f ca="1">IF($I12="","",psi_i(a_iVal,y_iter7,$G12,Kij_Val,BIPset,$AE$3,COUNTA(Chemicals)))</f>
        <v>#NAME?</v>
      </c>
      <c r="ID12" s="1"/>
      <c r="IE12" s="1" t="str">
        <f t="shared" ca="1" si="59"/>
        <v/>
      </c>
      <c r="IF12" s="1" t="str">
        <f t="shared" ca="1" si="60"/>
        <v/>
      </c>
      <c r="IG12" s="1"/>
      <c r="IH12" s="1" t="e">
        <f ca="1">IF($I12="",0,phi_i($IA$7,$HP$7,$HQ$7,AC12,$IG$7,IB12,$ID$7))</f>
        <v>#NAME?</v>
      </c>
      <c r="II12" s="1" t="e">
        <f ca="1">IF($I12="",0,phi_i($IA$10,$HR$7,$HS$7,AC12,$IG$10,IC12,$ID$10))</f>
        <v>#NAME?</v>
      </c>
      <c r="IJ12" t="e">
        <f t="shared" ca="1" si="61"/>
        <v>#NAME?</v>
      </c>
      <c r="IK12" t="e">
        <f t="shared" ca="1" si="62"/>
        <v>#NAME?</v>
      </c>
      <c r="IL12">
        <f t="shared" ca="1" si="63"/>
        <v>0</v>
      </c>
      <c r="IM12" s="89"/>
      <c r="IN12" s="86" t="str">
        <f t="shared" ca="1" si="64"/>
        <v/>
      </c>
      <c r="IP12" t="str">
        <f t="shared" ca="1" si="65"/>
        <v/>
      </c>
      <c r="IQ12" t="str">
        <f t="shared" ca="1" si="66"/>
        <v/>
      </c>
      <c r="JD12" s="1" t="e">
        <f ca="1">IF($I12="","",psi_i(a_iVal,x_iter8,$G12,Kij_Val,BIPset,$AE$3,COUNTA(Chemicals)))</f>
        <v>#NAME?</v>
      </c>
      <c r="JE12" s="1" t="e">
        <f ca="1">IF($I12="","",psi_i(a_iVal,y_iter8,$G12,Kij_Val,BIPset,$AE$3,COUNTA(Chemicals)))</f>
        <v>#NAME?</v>
      </c>
      <c r="JF12" s="1"/>
      <c r="JG12" s="1" t="str">
        <f t="shared" ca="1" si="67"/>
        <v/>
      </c>
      <c r="JH12" s="1" t="str">
        <f t="shared" ca="1" si="68"/>
        <v/>
      </c>
      <c r="JI12" s="1"/>
      <c r="JJ12" s="1" t="e">
        <f ca="1">IF($I12="",0,phi_i($JC$7,$IR$7,$IS$7,AC12,$JI$7,JD12,$JF$7))</f>
        <v>#NAME?</v>
      </c>
      <c r="JK12" s="1" t="e">
        <f ca="1">IF($I12="",0,phi_i($JC$10,$IT$7,$IU$7,AC12,$JI$10,JE12,$JF$10))</f>
        <v>#NAME?</v>
      </c>
      <c r="JL12" t="e">
        <f t="shared" ca="1" si="69"/>
        <v>#NAME?</v>
      </c>
      <c r="JM12" t="e">
        <f t="shared" ca="1" si="70"/>
        <v>#NAME?</v>
      </c>
      <c r="JN12">
        <f t="shared" ca="1" si="71"/>
        <v>0</v>
      </c>
      <c r="JO12" s="89"/>
    </row>
    <row r="13" spans="1:275">
      <c r="A13" s="1" t="s">
        <v>182</v>
      </c>
      <c r="B13" s="101" t="e">
        <f ca="1">$I$4*$IO$7</f>
        <v>#NAME?</v>
      </c>
      <c r="C13" s="112" t="s">
        <v>183</v>
      </c>
      <c r="D13" s="97" t="s">
        <v>184</v>
      </c>
      <c r="E13" s="102" t="e">
        <f ca="1">I4-B13</f>
        <v>#NAME?</v>
      </c>
      <c r="F13" s="109" t="s">
        <v>183</v>
      </c>
      <c r="G13">
        <v>7</v>
      </c>
      <c r="H13" s="6" t="str">
        <f>IF(Wilson!B13="","",Wilson!B13)</f>
        <v/>
      </c>
      <c r="I13" s="3" t="str">
        <f>IF(Wilson!C13="","",Wilson!C13)</f>
        <v/>
      </c>
      <c r="J13" s="13"/>
      <c r="K13" s="60"/>
      <c r="L13" s="60"/>
      <c r="M13" s="60"/>
      <c r="N13" s="60"/>
      <c r="O13" s="60"/>
      <c r="P13" s="60">
        <f>Wilson!E13</f>
        <v>190.6</v>
      </c>
      <c r="Q13" s="60">
        <f>Wilson!F13</f>
        <v>4599</v>
      </c>
      <c r="R13" s="60">
        <f>Wilson!G13</f>
        <v>1.77701994</v>
      </c>
      <c r="S13" s="60">
        <f>Wilson!H13</f>
        <v>8.0000000000000002E-3</v>
      </c>
      <c r="T13" s="13"/>
      <c r="U13" s="13"/>
      <c r="V13" s="1" t="str">
        <f>Wilson!J13</f>
        <v/>
      </c>
      <c r="W13" s="113"/>
      <c r="X13" s="1" t="str">
        <f>IF(Wilson!M13="","",Wilson!M13)</f>
        <v/>
      </c>
      <c r="Y13" s="65" t="str">
        <f>Wilson!N13</f>
        <v/>
      </c>
      <c r="Z13" s="1">
        <f t="shared" si="3"/>
        <v>0.38696080639999997</v>
      </c>
      <c r="AA13" s="1" t="e">
        <f t="shared" ca="1" si="4"/>
        <v>#NAME?</v>
      </c>
      <c r="AB13" s="1" t="e">
        <f t="shared" ca="1" si="0"/>
        <v>#NAME?</v>
      </c>
      <c r="AC13" s="1" t="e">
        <f t="shared" ca="1" si="5"/>
        <v>#NAME?</v>
      </c>
      <c r="AD13" s="74"/>
      <c r="AE13" s="75"/>
      <c r="AF13" s="75"/>
      <c r="AG13" s="75"/>
      <c r="AP13" s="1" t="str">
        <f>IF(I13="","",psi_i(a_iVal,x_iVal,G13,Kij_Val,BIPset,$AE$3,COUNTA(Chemicals)))</f>
        <v/>
      </c>
      <c r="AQ13" s="1" t="str">
        <f>IF(I13="","",psi_i(a_iVal,y_iVal, G13,Kij_Val,BIPset,$AE$3,COUNTA(Chemicals)))</f>
        <v/>
      </c>
      <c r="AR13" s="1"/>
      <c r="AS13" s="1" t="str">
        <f t="shared" ca="1" si="6"/>
        <v/>
      </c>
      <c r="AT13" s="1" t="str">
        <f t="shared" ca="1" si="7"/>
        <v/>
      </c>
      <c r="AU13" s="1"/>
      <c r="AV13" s="1">
        <f>IF(I13="",0,phi_i($AO$7,$AD$7,$AE$7,AC13,$AU$7,AP13,$AR$7))</f>
        <v>0</v>
      </c>
      <c r="AW13" s="1">
        <f>IF(I13="",0,phi_i($AO$10,$AF$7,$AG$7,AC13,$AU$10,AQ13,$AR$10))</f>
        <v>0</v>
      </c>
      <c r="AX13" s="1">
        <f t="shared" si="72"/>
        <v>0</v>
      </c>
      <c r="AY13" s="79"/>
      <c r="AZ13" s="86" t="str">
        <f t="shared" si="8"/>
        <v/>
      </c>
      <c r="BB13">
        <f t="shared" ca="1" si="9"/>
        <v>0</v>
      </c>
      <c r="BC13">
        <f t="shared" ca="1" si="10"/>
        <v>0</v>
      </c>
      <c r="BP13" s="1" t="str">
        <f>IF(I13="","",psi_i(a_iVal,x_iter1,G13,Kij_Val,BIPset,$AE$3,COUNTA(Chemicals)))</f>
        <v/>
      </c>
      <c r="BQ13" s="1" t="str">
        <f>IF(I13="","",psi_i(a_iVal,y_iter1,G13,Kij_Val,BIPset,$AE$3,COUNTA(Chemicals)))</f>
        <v/>
      </c>
      <c r="BR13" s="1"/>
      <c r="BS13" s="1" t="e">
        <f t="shared" ca="1" si="11"/>
        <v>#NAME?</v>
      </c>
      <c r="BT13" s="1" t="e">
        <f t="shared" ca="1" si="12"/>
        <v>#NAME?</v>
      </c>
      <c r="BU13" s="1"/>
      <c r="BV13" s="1">
        <f>IF(I13="",0,phi_i($BO$7,$BD$7,$BE$7,AC13,$BU$7,BP13,$BR$7))</f>
        <v>0</v>
      </c>
      <c r="BW13" s="1">
        <f>IF(I13="",0,phi_i($BO$10,$BF$7,$BG$7,AC13,$BU$10,BQ13,$BR$10))</f>
        <v>0</v>
      </c>
      <c r="BX13">
        <f t="shared" si="13"/>
        <v>0</v>
      </c>
      <c r="BY13">
        <f t="shared" si="14"/>
        <v>0</v>
      </c>
      <c r="BZ13">
        <f t="shared" si="15"/>
        <v>0</v>
      </c>
      <c r="CA13" s="89"/>
      <c r="CB13" s="86" t="str">
        <f t="shared" si="16"/>
        <v/>
      </c>
      <c r="CD13" t="str">
        <f t="shared" ca="1" si="17"/>
        <v/>
      </c>
      <c r="CE13" t="str">
        <f t="shared" ca="1" si="18"/>
        <v/>
      </c>
      <c r="CR13" s="1" t="str">
        <f>IF($I13="","",psi_i(a_iVal,x_iter2,$G13,Kij_Val,BIPset,$AE$3,COUNTA(Chemicals)))</f>
        <v/>
      </c>
      <c r="CS13" s="1" t="str">
        <f>IF($I13="","",psi_i(a_iVal,y_iter2,$G13,Kij_Val,BIPset,$AE$3,COUNTA(Chemicals)))</f>
        <v/>
      </c>
      <c r="CT13" s="1"/>
      <c r="CU13" s="1" t="str">
        <f t="shared" ca="1" si="19"/>
        <v/>
      </c>
      <c r="CV13" s="1" t="str">
        <f t="shared" ca="1" si="20"/>
        <v/>
      </c>
      <c r="CW13" s="1"/>
      <c r="CX13" s="1">
        <f>IF($I13="",0,phi_i($CQ$7,$CF$7,$CG$7,AC13,$CW$7,CR13,$CT$7))</f>
        <v>0</v>
      </c>
      <c r="CY13" s="1">
        <f>IF($I13="",0,phi_i($CQ$10,$CH$7,$CI$7,AC13,$CW$10,CS13,$CT$10))</f>
        <v>0</v>
      </c>
      <c r="CZ13">
        <f t="shared" si="21"/>
        <v>0</v>
      </c>
      <c r="DA13">
        <f t="shared" si="22"/>
        <v>0</v>
      </c>
      <c r="DB13">
        <f t="shared" si="23"/>
        <v>0</v>
      </c>
      <c r="DC13" s="89"/>
      <c r="DD13" s="86" t="str">
        <f t="shared" si="24"/>
        <v/>
      </c>
      <c r="DF13" t="str">
        <f t="shared" ca="1" si="25"/>
        <v/>
      </c>
      <c r="DG13" t="str">
        <f t="shared" ca="1" si="26"/>
        <v/>
      </c>
      <c r="DT13" s="1" t="str">
        <f>IF($I13="","",psi_i(a_iVal,x_iter3,$G13,Kij_Val,BIPset,$AE$3,COUNTA(Chemicals)))</f>
        <v/>
      </c>
      <c r="DU13" s="1" t="str">
        <f>IF($I13="","",psi_i(a_iVal,y_iter3,$G13,Kij_Val,BIPset,$AE$3,COUNTA(Chemicals)))</f>
        <v/>
      </c>
      <c r="DV13" s="1"/>
      <c r="DW13" s="1" t="str">
        <f t="shared" ca="1" si="27"/>
        <v/>
      </c>
      <c r="DX13" s="1" t="str">
        <f t="shared" ca="1" si="28"/>
        <v/>
      </c>
      <c r="DY13" s="1"/>
      <c r="DZ13" s="1">
        <f>IF($I13="",0,phi_i($DS$7,$DH$7,$DI$7,AC13,$DY$7,DT13,$DV$7))</f>
        <v>0</v>
      </c>
      <c r="EA13" s="1">
        <f>IF($I13="",0,phi_i($DS$10,$DJ$7,$DK$7,AC13,$DY$10,DU13,$DV$10))</f>
        <v>0</v>
      </c>
      <c r="EB13">
        <f t="shared" si="29"/>
        <v>0</v>
      </c>
      <c r="EC13">
        <f t="shared" si="30"/>
        <v>0</v>
      </c>
      <c r="ED13">
        <f t="shared" si="31"/>
        <v>0</v>
      </c>
      <c r="EE13" s="89"/>
      <c r="EF13" s="86" t="str">
        <f t="shared" si="32"/>
        <v/>
      </c>
      <c r="EH13" t="str">
        <f t="shared" ca="1" si="33"/>
        <v/>
      </c>
      <c r="EI13" t="str">
        <f t="shared" ca="1" si="34"/>
        <v/>
      </c>
      <c r="EV13" s="1" t="str">
        <f>IF($I13="","",psi_i(a_iVal,x_iter4,$G13,Kij_Val,BIPset,$AE$3,COUNTA(Chemicals)))</f>
        <v/>
      </c>
      <c r="EW13" s="1" t="str">
        <f>IF($I13="","",psi_i(a_iVal,y_iter4,$G13,Kij_Val,BIPset,$AE$3,COUNTA(Chemicals)))</f>
        <v/>
      </c>
      <c r="EX13" s="1"/>
      <c r="EY13" s="1" t="str">
        <f t="shared" ca="1" si="35"/>
        <v/>
      </c>
      <c r="EZ13" s="1" t="str">
        <f t="shared" ca="1" si="36"/>
        <v/>
      </c>
      <c r="FA13" s="1"/>
      <c r="FB13" s="1">
        <f>IF($I13="",0,phi_i($EU$7,$EJ$7,$EK$7,AC13,$FA$7,EV13,$EX$7))</f>
        <v>0</v>
      </c>
      <c r="FC13" s="1">
        <f>IF($I13="",0,phi_i($EU$10,$EL$7,$EM$7,AC13,$FA$10,EW13,$EX$10))</f>
        <v>0</v>
      </c>
      <c r="FD13">
        <f t="shared" si="37"/>
        <v>0</v>
      </c>
      <c r="FE13">
        <f t="shared" si="38"/>
        <v>0</v>
      </c>
      <c r="FF13">
        <f t="shared" si="39"/>
        <v>0</v>
      </c>
      <c r="FG13" s="89"/>
      <c r="FH13" s="86" t="str">
        <f t="shared" si="40"/>
        <v/>
      </c>
      <c r="FJ13" t="str">
        <f t="shared" ca="1" si="41"/>
        <v/>
      </c>
      <c r="FK13" t="str">
        <f t="shared" ca="1" si="42"/>
        <v/>
      </c>
      <c r="FX13" s="1" t="str">
        <f>IF($I13="","",psi_i(a_iVal,x_iter5,$G13,Kij_Val,BIPset,$AE$3,COUNTA(Chemicals)))</f>
        <v/>
      </c>
      <c r="FY13" s="1" t="str">
        <f>IF($I13="","",psi_i(a_iVal,y_iter5,$G13,Kij_Val,BIPset,$AE$3,COUNTA(Chemicals)))</f>
        <v/>
      </c>
      <c r="FZ13" s="1"/>
      <c r="GA13" s="1" t="str">
        <f t="shared" ca="1" si="43"/>
        <v/>
      </c>
      <c r="GB13" s="1" t="str">
        <f t="shared" ca="1" si="44"/>
        <v/>
      </c>
      <c r="GC13" s="1"/>
      <c r="GD13" s="1">
        <f>IF($I13="",0,phi_i($FW$7,$FL$7,$FM$7,AC13,$GC$7,FX13,$FZ$7))</f>
        <v>0</v>
      </c>
      <c r="GE13" s="1">
        <f>IF($I13="",0,phi_i($FW$10,$FN$7,$FO$7,AC13,$GC$10,FY13,$FZ$10))</f>
        <v>0</v>
      </c>
      <c r="GF13">
        <f t="shared" si="45"/>
        <v>0</v>
      </c>
      <c r="GG13">
        <f t="shared" si="46"/>
        <v>0</v>
      </c>
      <c r="GH13">
        <f t="shared" si="47"/>
        <v>0</v>
      </c>
      <c r="GI13" s="89"/>
      <c r="GJ13" s="86" t="str">
        <f t="shared" si="48"/>
        <v/>
      </c>
      <c r="GL13" t="str">
        <f t="shared" ca="1" si="49"/>
        <v/>
      </c>
      <c r="GM13" t="str">
        <f t="shared" ca="1" si="50"/>
        <v/>
      </c>
      <c r="GZ13" s="1" t="str">
        <f>IF($I13="","",psi_i(a_iVal,x_iter6,$G13,Kij_Val,BIPset,$AE$3,COUNTA(Chemicals)))</f>
        <v/>
      </c>
      <c r="HA13" s="1" t="str">
        <f>IF($I13="","",psi_i(a_iVal,y_iter6,$G13,Kij_Val,BIPset,$AE$3,COUNTA(Chemicals)))</f>
        <v/>
      </c>
      <c r="HB13" s="1"/>
      <c r="HC13" s="1" t="str">
        <f t="shared" ca="1" si="51"/>
        <v/>
      </c>
      <c r="HD13" s="1" t="str">
        <f t="shared" ca="1" si="52"/>
        <v/>
      </c>
      <c r="HE13" s="1"/>
      <c r="HF13" s="1">
        <f>IF($I13="",0,phi_i($GY$7,$GN$7,$GO$7,AC13,$HE$7,GZ13,$HB$7))</f>
        <v>0</v>
      </c>
      <c r="HG13" s="1">
        <f>IF($I13="",0,phi_i($GY$10,$GP$7,$GQ$7,AC13,$HE$10,HA13,$HB$10))</f>
        <v>0</v>
      </c>
      <c r="HH13">
        <f t="shared" si="53"/>
        <v>0</v>
      </c>
      <c r="HI13">
        <f t="shared" si="54"/>
        <v>0</v>
      </c>
      <c r="HJ13">
        <f t="shared" si="55"/>
        <v>0</v>
      </c>
      <c r="HK13" s="89"/>
      <c r="HL13" s="86" t="str">
        <f t="shared" si="56"/>
        <v/>
      </c>
      <c r="HN13" t="str">
        <f t="shared" ca="1" si="57"/>
        <v/>
      </c>
      <c r="HO13" t="str">
        <f t="shared" ca="1" si="58"/>
        <v/>
      </c>
      <c r="IB13" s="1" t="str">
        <f>IF($I13="","",psi_i(a_iVal,x_iter7,$G13,Kij_Val,BIPset,$AE$3,COUNTA(Chemicals)))</f>
        <v/>
      </c>
      <c r="IC13" s="1" t="str">
        <f>IF($I13="","",psi_i(a_iVal,y_iter7,$G13,Kij_Val,BIPset,$AE$3,COUNTA(Chemicals)))</f>
        <v/>
      </c>
      <c r="ID13" s="1"/>
      <c r="IE13" s="1" t="str">
        <f t="shared" ca="1" si="59"/>
        <v/>
      </c>
      <c r="IF13" s="1" t="str">
        <f t="shared" ca="1" si="60"/>
        <v/>
      </c>
      <c r="IG13" s="1"/>
      <c r="IH13" s="1">
        <f>IF($I13="",0,phi_i($IA$7,$HP$7,$HQ$7,AC13,$IG$7,IB13,$ID$7))</f>
        <v>0</v>
      </c>
      <c r="II13" s="1">
        <f>IF($I13="",0,phi_i($IA$10,$HR$7,$HS$7,AC13,$IG$10,IC13,$ID$10))</f>
        <v>0</v>
      </c>
      <c r="IJ13">
        <f t="shared" si="61"/>
        <v>0</v>
      </c>
      <c r="IK13">
        <f t="shared" si="62"/>
        <v>0</v>
      </c>
      <c r="IL13">
        <f t="shared" si="63"/>
        <v>0</v>
      </c>
      <c r="IM13" s="89"/>
      <c r="IN13" s="86" t="str">
        <f t="shared" si="64"/>
        <v/>
      </c>
      <c r="IP13" t="str">
        <f t="shared" ca="1" si="65"/>
        <v/>
      </c>
      <c r="IQ13" t="str">
        <f t="shared" ca="1" si="66"/>
        <v/>
      </c>
      <c r="JD13" s="1" t="str">
        <f>IF($I13="","",psi_i(a_iVal,x_iter8,$G13,Kij_Val,BIPset,$AE$3,COUNTA(Chemicals)))</f>
        <v/>
      </c>
      <c r="JE13" s="1" t="str">
        <f>IF($I13="","",psi_i(a_iVal,y_iter8,$G13,Kij_Val,BIPset,$AE$3,COUNTA(Chemicals)))</f>
        <v/>
      </c>
      <c r="JF13" s="1"/>
      <c r="JG13" s="1" t="str">
        <f t="shared" ca="1" si="67"/>
        <v/>
      </c>
      <c r="JH13" s="1" t="str">
        <f t="shared" ca="1" si="68"/>
        <v/>
      </c>
      <c r="JI13" s="1"/>
      <c r="JJ13" s="1">
        <f>IF($I13="",0,phi_i($JC$7,$IR$7,$IS$7,AC13,$JI$7,JD13,$JF$7))</f>
        <v>0</v>
      </c>
      <c r="JK13" s="1">
        <f>IF($I13="",0,phi_i($JC$10,$IT$7,$IU$7,AC13,$JI$10,JE13,$JF$10))</f>
        <v>0</v>
      </c>
      <c r="JL13">
        <f t="shared" si="69"/>
        <v>0</v>
      </c>
      <c r="JM13">
        <f t="shared" si="70"/>
        <v>0</v>
      </c>
      <c r="JN13">
        <f t="shared" si="71"/>
        <v>0</v>
      </c>
      <c r="JO13" s="89"/>
    </row>
    <row r="14" spans="1:275">
      <c r="A14" s="1" t="str">
        <f>REPLACE(H7,1,3,"y_")</f>
        <v xml:space="preserve">y_Ethane </v>
      </c>
      <c r="B14" s="101" t="str">
        <f ca="1">$IQ7</f>
        <v/>
      </c>
      <c r="C14" s="112" t="s">
        <v>185</v>
      </c>
      <c r="D14" s="97" t="str">
        <f>REPLACE(A14,1,1,"x")</f>
        <v xml:space="preserve">x_Ethane </v>
      </c>
      <c r="E14" s="102" t="str">
        <f ca="1">$IP7</f>
        <v/>
      </c>
      <c r="F14" s="109" t="s">
        <v>185</v>
      </c>
      <c r="G14">
        <v>8</v>
      </c>
      <c r="H14" s="6" t="str">
        <f>IF(Wilson!B14="","",Wilson!B14)</f>
        <v/>
      </c>
      <c r="I14" s="3" t="str">
        <f>IF(Wilson!C14="","",Wilson!C14)</f>
        <v/>
      </c>
      <c r="J14" s="13"/>
      <c r="K14" s="61"/>
      <c r="L14" s="61"/>
      <c r="M14" s="61"/>
      <c r="N14" s="61"/>
      <c r="O14" s="61"/>
      <c r="P14" s="60">
        <f>Wilson!E14</f>
        <v>369.8</v>
      </c>
      <c r="Q14" s="60">
        <f>Wilson!F14</f>
        <v>4248</v>
      </c>
      <c r="R14" s="60">
        <f>Wilson!G14</f>
        <v>0.91590048999999996</v>
      </c>
      <c r="S14" s="60">
        <f>Wilson!H14</f>
        <v>0.152</v>
      </c>
      <c r="T14" s="13"/>
      <c r="U14" s="13"/>
      <c r="V14" s="1" t="str">
        <f>Wilson!J14</f>
        <v/>
      </c>
      <c r="W14" s="13"/>
      <c r="X14" s="1" t="str">
        <f>IF(Wilson!M14="","",Wilson!M14)</f>
        <v/>
      </c>
      <c r="Y14" s="65" t="str">
        <f>Wilson!N14</f>
        <v/>
      </c>
      <c r="Z14" s="1">
        <f t="shared" si="3"/>
        <v>0.60282775039999992</v>
      </c>
      <c r="AA14" s="1" t="e">
        <f t="shared" ca="1" si="4"/>
        <v>#NAME?</v>
      </c>
      <c r="AB14" s="1" t="e">
        <f t="shared" ca="1" si="0"/>
        <v>#NAME?</v>
      </c>
      <c r="AC14" s="1" t="e">
        <f t="shared" ca="1" si="5"/>
        <v>#NAME?</v>
      </c>
      <c r="AD14" s="74"/>
      <c r="AE14" s="75"/>
      <c r="AF14" s="75"/>
      <c r="AG14" s="75"/>
      <c r="AP14" s="1" t="str">
        <f>IF(I14="","",psi_i(a_iVal,x_iVal,G14,Kij_Val,BIPset,$AE$3,COUNTA(Chemicals)))</f>
        <v/>
      </c>
      <c r="AQ14" s="1" t="str">
        <f>IF(I14="","",psi_i(a_iVal,y_iVal, G14,Kij_Val,BIPset,$AE$3,COUNTA(Chemicals)))</f>
        <v/>
      </c>
      <c r="AR14" s="1"/>
      <c r="AS14" s="1" t="str">
        <f t="shared" ca="1" si="6"/>
        <v/>
      </c>
      <c r="AT14" s="1" t="str">
        <f t="shared" ca="1" si="7"/>
        <v/>
      </c>
      <c r="AU14" s="1"/>
      <c r="AV14" s="1">
        <f>IF(I14="",0,phi_i($AO$7,$AD$7,$AE$7,AC14,$AU$7,AP14,$AR$7))</f>
        <v>0</v>
      </c>
      <c r="AW14" s="1">
        <f>IF(I14="",0,phi_i($AO$10,$AF$7,$AG$7,AC14,$AU$10,AQ14,$AR$10))</f>
        <v>0</v>
      </c>
      <c r="AX14" s="1">
        <f t="shared" si="72"/>
        <v>0</v>
      </c>
      <c r="AY14" s="79"/>
      <c r="AZ14" s="86" t="str">
        <f t="shared" si="8"/>
        <v/>
      </c>
      <c r="BB14">
        <f t="shared" ca="1" si="9"/>
        <v>0</v>
      </c>
      <c r="BC14">
        <f t="shared" ca="1" si="10"/>
        <v>0</v>
      </c>
      <c r="BP14" s="1" t="str">
        <f>IF(I14="","",psi_i(a_iVal,x_iter1,G14,Kij_Val,BIPset,$AE$3,COUNTA(Chemicals)))</f>
        <v/>
      </c>
      <c r="BQ14" s="1" t="str">
        <f>IF(I14="","",psi_i(a_iVal,y_iter1,G14,Kij_Val,BIPset,$AE$3,COUNTA(Chemicals)))</f>
        <v/>
      </c>
      <c r="BR14" s="1"/>
      <c r="BS14" s="1" t="e">
        <f t="shared" ca="1" si="11"/>
        <v>#NAME?</v>
      </c>
      <c r="BT14" s="1" t="e">
        <f t="shared" ca="1" si="12"/>
        <v>#NAME?</v>
      </c>
      <c r="BU14" s="1"/>
      <c r="BV14" s="1">
        <f>IF(I14="",0,phi_i($BO$7,$BD$7,$BE$7,AC14,$BU$7,BP14,$BR$7))</f>
        <v>0</v>
      </c>
      <c r="BW14" s="1">
        <f>IF(I14="",0,phi_i($BO$10,$BF$7,$BG$7,AC14,$BU$10,BQ14,$BR$10))</f>
        <v>0</v>
      </c>
      <c r="BX14">
        <f t="shared" si="13"/>
        <v>0</v>
      </c>
      <c r="BY14">
        <f t="shared" si="14"/>
        <v>0</v>
      </c>
      <c r="BZ14">
        <f t="shared" si="15"/>
        <v>0</v>
      </c>
      <c r="CA14" s="89"/>
      <c r="CB14" s="86" t="str">
        <f t="shared" si="16"/>
        <v/>
      </c>
      <c r="CD14" t="str">
        <f t="shared" ca="1" si="17"/>
        <v/>
      </c>
      <c r="CE14" t="str">
        <f t="shared" ca="1" si="18"/>
        <v/>
      </c>
      <c r="CR14" s="1" t="str">
        <f>IF($I14="","",psi_i(a_iVal,x_iter2,$G14,Kij_Val,BIPset,$AE$3,COUNTA(Chemicals)))</f>
        <v/>
      </c>
      <c r="CS14" s="1" t="str">
        <f>IF($I14="","",psi_i(a_iVal,y_iter2,$G14,Kij_Val,BIPset,$AE$3,COUNTA(Chemicals)))</f>
        <v/>
      </c>
      <c r="CT14" s="1"/>
      <c r="CU14" s="1" t="str">
        <f t="shared" ca="1" si="19"/>
        <v/>
      </c>
      <c r="CV14" s="1" t="str">
        <f t="shared" ca="1" si="20"/>
        <v/>
      </c>
      <c r="CW14" s="1"/>
      <c r="CX14" s="1">
        <f>IF($I14="",0,phi_i($CQ$7,$CF$7,$CG$7,AC14,$CW$7,CR14,$CT$7))</f>
        <v>0</v>
      </c>
      <c r="CY14" s="1">
        <f>IF($I14="",0,phi_i($CQ$10,$CH$7,$CI$7,AC14,$CW$10,CS14,$CT$10))</f>
        <v>0</v>
      </c>
      <c r="CZ14">
        <f t="shared" si="21"/>
        <v>0</v>
      </c>
      <c r="DA14">
        <f t="shared" si="22"/>
        <v>0</v>
      </c>
      <c r="DB14">
        <f t="shared" si="23"/>
        <v>0</v>
      </c>
      <c r="DC14" s="89"/>
      <c r="DD14" s="86" t="str">
        <f t="shared" si="24"/>
        <v/>
      </c>
      <c r="DF14" t="str">
        <f t="shared" ca="1" si="25"/>
        <v/>
      </c>
      <c r="DG14" t="str">
        <f t="shared" ca="1" si="26"/>
        <v/>
      </c>
      <c r="DT14" s="1" t="str">
        <f>IF($I14="","",psi_i(a_iVal,x_iter3,$G14,Kij_Val,BIPset,$AE$3,COUNTA(Chemicals)))</f>
        <v/>
      </c>
      <c r="DU14" s="1" t="str">
        <f>IF($I14="","",psi_i(a_iVal,y_iter3,$G14,Kij_Val,BIPset,$AE$3,COUNTA(Chemicals)))</f>
        <v/>
      </c>
      <c r="DV14" s="1"/>
      <c r="DW14" s="1" t="str">
        <f t="shared" ca="1" si="27"/>
        <v/>
      </c>
      <c r="DX14" s="1" t="str">
        <f t="shared" ca="1" si="28"/>
        <v/>
      </c>
      <c r="DY14" s="1"/>
      <c r="DZ14" s="1">
        <f>IF($I14="",0,phi_i($DS$7,$DH$7,$DI$7,AC14,$DY$7,DT14,$DV$7))</f>
        <v>0</v>
      </c>
      <c r="EA14" s="1">
        <f>IF($I14="",0,phi_i($DS$10,$DJ$7,$DK$7,AC14,$DY$10,DU14,$DV$10))</f>
        <v>0</v>
      </c>
      <c r="EB14">
        <f t="shared" si="29"/>
        <v>0</v>
      </c>
      <c r="EC14">
        <f t="shared" si="30"/>
        <v>0</v>
      </c>
      <c r="ED14">
        <f t="shared" si="31"/>
        <v>0</v>
      </c>
      <c r="EE14" s="89"/>
      <c r="EF14" s="86" t="str">
        <f t="shared" si="32"/>
        <v/>
      </c>
      <c r="EH14" t="str">
        <f t="shared" ca="1" si="33"/>
        <v/>
      </c>
      <c r="EI14" t="str">
        <f t="shared" ca="1" si="34"/>
        <v/>
      </c>
      <c r="EV14" s="1" t="str">
        <f>IF($I14="","",psi_i(a_iVal,x_iter4,$G14,Kij_Val,BIPset,$AE$3,COUNTA(Chemicals)))</f>
        <v/>
      </c>
      <c r="EW14" s="1" t="str">
        <f>IF($I14="","",psi_i(a_iVal,y_iter4,$G14,Kij_Val,BIPset,$AE$3,COUNTA(Chemicals)))</f>
        <v/>
      </c>
      <c r="EX14" s="1"/>
      <c r="EY14" s="1" t="str">
        <f t="shared" ca="1" si="35"/>
        <v/>
      </c>
      <c r="EZ14" s="1" t="str">
        <f t="shared" ca="1" si="36"/>
        <v/>
      </c>
      <c r="FA14" s="1"/>
      <c r="FB14" s="1">
        <f>IF($I14="",0,phi_i($EU$7,$EJ$7,$EK$7,AC14,$FA$7,EV14,$EX$7))</f>
        <v>0</v>
      </c>
      <c r="FC14" s="1">
        <f>IF($I14="",0,phi_i($EU$10,$EL$7,$EM$7,AC14,$FA$10,EW14,$EX$10))</f>
        <v>0</v>
      </c>
      <c r="FD14">
        <f t="shared" si="37"/>
        <v>0</v>
      </c>
      <c r="FE14">
        <f t="shared" si="38"/>
        <v>0</v>
      </c>
      <c r="FF14">
        <f t="shared" si="39"/>
        <v>0</v>
      </c>
      <c r="FG14" s="89"/>
      <c r="FH14" s="86" t="str">
        <f t="shared" si="40"/>
        <v/>
      </c>
      <c r="FK14" t="str">
        <f t="shared" ca="1" si="42"/>
        <v/>
      </c>
      <c r="FX14" s="1" t="str">
        <f>IF($I14="","",psi_i(a_iVal,x_iter5,$G14,Kij_Val,BIPset,$AE$3,COUNTA(Chemicals)))</f>
        <v/>
      </c>
      <c r="FY14" s="1" t="str">
        <f>IF($I14="","",psi_i(a_iVal,y_iter5,$G14,Kij_Val,BIPset,$AE$3,COUNTA(Chemicals)))</f>
        <v/>
      </c>
      <c r="FZ14" s="1"/>
      <c r="GA14" s="1" t="str">
        <f t="shared" ca="1" si="43"/>
        <v/>
      </c>
      <c r="GB14" s="1" t="str">
        <f t="shared" ca="1" si="44"/>
        <v/>
      </c>
      <c r="GC14" s="1"/>
      <c r="GD14" s="1">
        <f>IF($I14="",0,phi_i($FW$7,$FL$7,$FM$7,AC14,$GC$7,FX14,$FZ$7))</f>
        <v>0</v>
      </c>
      <c r="GE14" s="1">
        <f>IF($I14="",0,phi_i($FW$10,$FN$7,$FO$7,AC14,$GC$10,FY14,$FZ$10))</f>
        <v>0</v>
      </c>
      <c r="GF14">
        <f t="shared" si="45"/>
        <v>0</v>
      </c>
      <c r="GG14">
        <f t="shared" si="46"/>
        <v>0</v>
      </c>
      <c r="GH14">
        <f t="shared" si="47"/>
        <v>0</v>
      </c>
      <c r="GI14" s="89"/>
      <c r="GJ14" s="86" t="str">
        <f t="shared" si="48"/>
        <v/>
      </c>
      <c r="GL14" t="str">
        <f t="shared" ca="1" si="49"/>
        <v/>
      </c>
      <c r="GM14" t="str">
        <f t="shared" ca="1" si="50"/>
        <v/>
      </c>
      <c r="GZ14" s="1" t="str">
        <f>IF($I14="","",psi_i(a_iVal,x_iter6,$G14,Kij_Val,BIPset,$AE$3,COUNTA(Chemicals)))</f>
        <v/>
      </c>
      <c r="HA14" s="1" t="str">
        <f>IF($I14="","",psi_i(a_iVal,y_iter6,$G14,Kij_Val,BIPset,$AE$3,COUNTA(Chemicals)))</f>
        <v/>
      </c>
      <c r="HB14" s="1"/>
      <c r="HC14" s="1" t="str">
        <f t="shared" ca="1" si="51"/>
        <v/>
      </c>
      <c r="HD14" s="1" t="str">
        <f t="shared" ca="1" si="52"/>
        <v/>
      </c>
      <c r="HE14" s="1"/>
      <c r="HF14" s="1">
        <f>IF($I14="",0,phi_i($GY$7,$GN$7,$GO$7,AC14,$HE$7,GZ14,$HB$7))</f>
        <v>0</v>
      </c>
      <c r="HG14" s="1">
        <f>IF($I14="",0,phi_i($GY$10,$GP$7,$GQ$7,AC14,$HE$10,HA14,$HB$10))</f>
        <v>0</v>
      </c>
      <c r="HH14">
        <f t="shared" si="53"/>
        <v>0</v>
      </c>
      <c r="HI14">
        <f t="shared" si="54"/>
        <v>0</v>
      </c>
      <c r="HJ14">
        <f t="shared" si="55"/>
        <v>0</v>
      </c>
      <c r="HK14" s="89"/>
      <c r="HL14" s="86" t="str">
        <f t="shared" si="56"/>
        <v/>
      </c>
      <c r="HN14" t="str">
        <f t="shared" ca="1" si="57"/>
        <v/>
      </c>
      <c r="HO14" t="str">
        <f t="shared" ca="1" si="58"/>
        <v/>
      </c>
      <c r="IB14" s="1" t="str">
        <f>IF($I14="","",psi_i(a_iVal,x_iter7,$G14,Kij_Val,BIPset,$AE$3,COUNTA(Chemicals)))</f>
        <v/>
      </c>
      <c r="IC14" s="1" t="str">
        <f>IF($I14="","",psi_i(a_iVal,y_iter7,$G14,Kij_Val,BIPset,$AE$3,COUNTA(Chemicals)))</f>
        <v/>
      </c>
      <c r="ID14" s="1"/>
      <c r="IE14" s="1" t="str">
        <f t="shared" ca="1" si="59"/>
        <v/>
      </c>
      <c r="IF14" s="1" t="str">
        <f t="shared" ca="1" si="60"/>
        <v/>
      </c>
      <c r="IG14" s="1"/>
      <c r="IH14" s="1">
        <f>IF($I14="",0,phi_i($IA$7,$HP$7,$HQ$7,AC14,$IG$7,IB14,$ID$7))</f>
        <v>0</v>
      </c>
      <c r="II14" s="1">
        <f>IF($I14="",0,phi_i($IA$10,$HR$7,$HS$7,AC14,$IG$10,IC14,$ID$10))</f>
        <v>0</v>
      </c>
      <c r="IJ14">
        <f t="shared" si="61"/>
        <v>0</v>
      </c>
      <c r="IK14">
        <f t="shared" si="62"/>
        <v>0</v>
      </c>
      <c r="IL14">
        <f t="shared" si="63"/>
        <v>0</v>
      </c>
      <c r="IM14" s="89"/>
      <c r="IN14" s="86" t="str">
        <f t="shared" si="64"/>
        <v/>
      </c>
      <c r="IP14" t="str">
        <f t="shared" ca="1" si="65"/>
        <v/>
      </c>
      <c r="IQ14" t="str">
        <f t="shared" ca="1" si="66"/>
        <v/>
      </c>
      <c r="JD14" s="1" t="str">
        <f>IF($I14="","",psi_i(a_iVal,x_iter8,$G14,Kij_Val,BIPset,$AE$3,COUNTA(Chemicals)))</f>
        <v/>
      </c>
      <c r="JE14" s="1" t="str">
        <f>IF($I14="","",psi_i(a_iVal,y_iter8,$G14,Kij_Val,BIPset,$AE$3,COUNTA(Chemicals)))</f>
        <v/>
      </c>
      <c r="JF14" s="1"/>
      <c r="JG14" s="1" t="str">
        <f t="shared" ca="1" si="67"/>
        <v/>
      </c>
      <c r="JH14" s="1" t="str">
        <f t="shared" ca="1" si="68"/>
        <v/>
      </c>
      <c r="JI14" s="1"/>
      <c r="JJ14" s="1">
        <f>IF($I14="",0,phi_i($JC$7,$IR$7,$IS$7,AC14,$JI$7,JD14,$JF$7))</f>
        <v>0</v>
      </c>
      <c r="JK14" s="1">
        <f>IF($I14="",0,phi_i($JC$10,$IT$7,$IU$7,AC14,$JI$10,JE14,$JF$10))</f>
        <v>0</v>
      </c>
      <c r="JL14">
        <f t="shared" si="69"/>
        <v>0</v>
      </c>
      <c r="JM14">
        <f t="shared" si="70"/>
        <v>0</v>
      </c>
      <c r="JN14">
        <f t="shared" si="71"/>
        <v>0</v>
      </c>
      <c r="JO14" s="89"/>
    </row>
    <row r="15" spans="1:275">
      <c r="A15" s="1" t="str">
        <f t="shared" ref="A15:A23" si="73">REPLACE(H8,1,3,"y_")</f>
        <v>y_Pentane</v>
      </c>
      <c r="B15" s="101" t="str">
        <f t="shared" ref="B15:B19" ca="1" si="74">$IQ8</f>
        <v/>
      </c>
      <c r="C15" s="112" t="s">
        <v>185</v>
      </c>
      <c r="D15" s="97" t="str">
        <f t="shared" ref="D15:D23" si="75">REPLACE(A15,1,1,"x")</f>
        <v>x_Pentane</v>
      </c>
      <c r="E15" s="102" t="str">
        <f t="shared" ref="E15:E19" ca="1" si="76">$IP8</f>
        <v/>
      </c>
      <c r="F15" s="109" t="s">
        <v>185</v>
      </c>
      <c r="G15">
        <v>9</v>
      </c>
      <c r="H15" s="6" t="str">
        <f>IF(Wilson!B15="","",Wilson!B15)</f>
        <v/>
      </c>
      <c r="I15" s="3" t="str">
        <f>IF(Wilson!C15="","",Wilson!C15)</f>
        <v/>
      </c>
      <c r="J15" s="13"/>
      <c r="K15" s="13"/>
      <c r="L15" s="13"/>
      <c r="M15" s="13"/>
      <c r="N15" s="13"/>
      <c r="O15" s="13"/>
      <c r="P15" s="60">
        <f>Wilson!E15</f>
        <v>617.70000000000005</v>
      </c>
      <c r="Q15" s="60">
        <f>Wilson!F15</f>
        <v>2110</v>
      </c>
      <c r="R15" s="60">
        <f>Wilson!G15</f>
        <v>0.54832442999999997</v>
      </c>
      <c r="S15" s="60">
        <f>Wilson!H15</f>
        <v>0.49199999999999999</v>
      </c>
      <c r="T15" s="13"/>
      <c r="U15" s="13"/>
      <c r="V15" s="1" t="str">
        <f>Wilson!J15</f>
        <v/>
      </c>
      <c r="W15" s="13"/>
      <c r="X15" s="1" t="str">
        <f>IF(Wilson!M15="","",Wilson!M15)</f>
        <v/>
      </c>
      <c r="Y15" s="65" t="str">
        <f>Wilson!N15</f>
        <v/>
      </c>
      <c r="Z15" s="1">
        <f t="shared" si="3"/>
        <v>1.0680988464000001</v>
      </c>
      <c r="AA15" s="1" t="e">
        <f t="shared" ca="1" si="4"/>
        <v>#NAME?</v>
      </c>
      <c r="AB15" s="1" t="e">
        <f t="shared" ca="1" si="0"/>
        <v>#NAME?</v>
      </c>
      <c r="AC15" s="1" t="e">
        <f t="shared" ca="1" si="5"/>
        <v>#NAME?</v>
      </c>
      <c r="AD15" s="74"/>
      <c r="AE15" s="75"/>
      <c r="AF15" s="75"/>
      <c r="AG15" s="75"/>
      <c r="AP15" s="1" t="str">
        <f>IF(I15="","",psi_i(a_iVal,x_iVal,G15,Kij_Val,BIPset,$AE$3,COUNTA(Chemicals)))</f>
        <v/>
      </c>
      <c r="AQ15" s="1" t="str">
        <f>IF(I15="","",psi_i(a_iVal,y_iVal, G15,Kij_Val,BIPset,$AE$3,COUNTA(Chemicals)))</f>
        <v/>
      </c>
      <c r="AR15" s="1"/>
      <c r="AS15" s="1" t="str">
        <f t="shared" ca="1" si="6"/>
        <v/>
      </c>
      <c r="AT15" s="1" t="str">
        <f t="shared" ca="1" si="7"/>
        <v/>
      </c>
      <c r="AU15" s="1"/>
      <c r="AV15" s="1">
        <f>IF(I15="",0,phi_i($AO$7,$AD$7,$AE$7,AC15,$AU$7,AP15,$AR$7))</f>
        <v>0</v>
      </c>
      <c r="AW15" s="1">
        <f>IF(I15="",0,phi_i($AO$10,$AF$7,$AG$7,AC15,$AU$10,AQ15,$AR$10))</f>
        <v>0</v>
      </c>
      <c r="AX15" s="1">
        <f t="shared" si="72"/>
        <v>0</v>
      </c>
      <c r="AY15" s="79"/>
      <c r="AZ15" s="86" t="str">
        <f t="shared" si="8"/>
        <v/>
      </c>
      <c r="BB15">
        <f t="shared" ca="1" si="9"/>
        <v>0</v>
      </c>
      <c r="BC15">
        <f t="shared" ca="1" si="10"/>
        <v>0</v>
      </c>
      <c r="BP15" s="1" t="str">
        <f>IF(I15="","",psi_i(a_iVal,x_iter1,G15,Kij_Val,BIPset,$AE$3,COUNTA(Chemicals)))</f>
        <v/>
      </c>
      <c r="BQ15" s="1" t="str">
        <f>IF(I15="","",psi_i(a_iVal,y_iter1,G15,Kij_Val,BIPset,$AE$3,COUNTA(Chemicals)))</f>
        <v/>
      </c>
      <c r="BR15" s="1"/>
      <c r="BS15" s="1" t="e">
        <f t="shared" ca="1" si="11"/>
        <v>#NAME?</v>
      </c>
      <c r="BT15" s="1" t="e">
        <f t="shared" ca="1" si="12"/>
        <v>#NAME?</v>
      </c>
      <c r="BU15" s="1"/>
      <c r="BV15" s="1">
        <f>IF(I15="",0,phi_i($BO$7,$BD$7,$BE$7,AC15,$BU$7,BP15,$BR$7))</f>
        <v>0</v>
      </c>
      <c r="BW15" s="1">
        <f>IF(I15="",0,phi_i($BO$10,$BF$7,$BG$7,AC15,$BU$10,BQ15,$BR$10))</f>
        <v>0</v>
      </c>
      <c r="BX15">
        <f t="shared" si="13"/>
        <v>0</v>
      </c>
      <c r="BY15">
        <f t="shared" si="14"/>
        <v>0</v>
      </c>
      <c r="BZ15">
        <f t="shared" si="15"/>
        <v>0</v>
      </c>
      <c r="CA15" s="89"/>
      <c r="CB15" s="86" t="str">
        <f t="shared" si="16"/>
        <v/>
      </c>
      <c r="CD15" t="str">
        <f t="shared" ca="1" si="17"/>
        <v/>
      </c>
      <c r="CE15" t="str">
        <f t="shared" ca="1" si="18"/>
        <v/>
      </c>
      <c r="CR15" s="1" t="str">
        <f>IF($I15="","",psi_i(a_iVal,x_iter2,$G15,Kij_Val,BIPset,$AE$3,COUNTA(Chemicals)))</f>
        <v/>
      </c>
      <c r="CS15" s="1" t="str">
        <f>IF($I15="","",psi_i(a_iVal,y_iter2,$G15,Kij_Val,BIPset,$AE$3,COUNTA(Chemicals)))</f>
        <v/>
      </c>
      <c r="CT15" s="1"/>
      <c r="CU15" s="1" t="str">
        <f t="shared" ca="1" si="19"/>
        <v/>
      </c>
      <c r="CV15" s="1" t="str">
        <f t="shared" ca="1" si="20"/>
        <v/>
      </c>
      <c r="CW15" s="1"/>
      <c r="CX15" s="1">
        <f>IF($I15="",0,phi_i($CQ$7,$CF$7,$CG$7,AC15,$CW$7,CR15,$CT$7))</f>
        <v>0</v>
      </c>
      <c r="CY15" s="1">
        <f>IF($I15="",0,phi_i($CQ$10,$CH$7,$CI$7,AC15,$CW$10,CS15,$CT$10))</f>
        <v>0</v>
      </c>
      <c r="CZ15">
        <f t="shared" si="21"/>
        <v>0</v>
      </c>
      <c r="DA15">
        <f t="shared" si="22"/>
        <v>0</v>
      </c>
      <c r="DB15">
        <f t="shared" si="23"/>
        <v>0</v>
      </c>
      <c r="DC15" s="89"/>
      <c r="DD15" s="86" t="str">
        <f t="shared" si="24"/>
        <v/>
      </c>
      <c r="DF15" t="str">
        <f t="shared" ca="1" si="25"/>
        <v/>
      </c>
      <c r="DG15" t="str">
        <f t="shared" ca="1" si="26"/>
        <v/>
      </c>
      <c r="DT15" s="1" t="str">
        <f>IF($I15="","",psi_i(a_iVal,x_iter3,$G15,Kij_Val,BIPset,$AE$3,COUNTA(Chemicals)))</f>
        <v/>
      </c>
      <c r="DU15" s="1" t="str">
        <f>IF($I15="","",psi_i(a_iVal,y_iter3,$G15,Kij_Val,BIPset,$AE$3,COUNTA(Chemicals)))</f>
        <v/>
      </c>
      <c r="DV15" s="1"/>
      <c r="DW15" s="1" t="str">
        <f t="shared" ca="1" si="27"/>
        <v/>
      </c>
      <c r="DX15" s="1" t="str">
        <f t="shared" ca="1" si="28"/>
        <v/>
      </c>
      <c r="DY15" s="1"/>
      <c r="DZ15" s="1">
        <f>IF($I15="",0,phi_i($DS$7,$DH$7,$DI$7,AC15,$DY$7,DT15,$DV$7))</f>
        <v>0</v>
      </c>
      <c r="EA15" s="1">
        <f>IF($I15="",0,phi_i($DS$10,$DJ$7,$DK$7,AC15,$DY$10,DU15,$DV$10))</f>
        <v>0</v>
      </c>
      <c r="EB15">
        <f t="shared" si="29"/>
        <v>0</v>
      </c>
      <c r="EC15">
        <f t="shared" si="30"/>
        <v>0</v>
      </c>
      <c r="ED15">
        <f t="shared" si="31"/>
        <v>0</v>
      </c>
      <c r="EE15" s="89"/>
      <c r="EF15" s="86" t="str">
        <f t="shared" si="32"/>
        <v/>
      </c>
      <c r="EH15" t="str">
        <f t="shared" ca="1" si="33"/>
        <v/>
      </c>
      <c r="EI15" t="str">
        <f t="shared" ca="1" si="34"/>
        <v/>
      </c>
      <c r="EV15" s="1" t="str">
        <f>IF($I15="","",psi_i(a_iVal,x_iter4,$G15,Kij_Val,BIPset,$AE$3,COUNTA(Chemicals)))</f>
        <v/>
      </c>
      <c r="EW15" s="1" t="str">
        <f>IF($I15="","",psi_i(a_iVal,y_iter4,$G15,Kij_Val,BIPset,$AE$3,COUNTA(Chemicals)))</f>
        <v/>
      </c>
      <c r="EX15" s="1"/>
      <c r="EY15" s="1" t="str">
        <f t="shared" ca="1" si="35"/>
        <v/>
      </c>
      <c r="EZ15" s="1" t="str">
        <f t="shared" ca="1" si="36"/>
        <v/>
      </c>
      <c r="FA15" s="1"/>
      <c r="FB15" s="1">
        <f>IF($I15="",0,phi_i($EU$7,$EJ$7,$EK$7,AC15,$FA$7,EV15,$EX$7))</f>
        <v>0</v>
      </c>
      <c r="FC15" s="1">
        <f>IF($I15="",0,phi_i($EU$10,$EL$7,$EM$7,AC15,$FA$10,EW15,$EX$10))</f>
        <v>0</v>
      </c>
      <c r="FD15">
        <f t="shared" si="37"/>
        <v>0</v>
      </c>
      <c r="FE15">
        <f t="shared" si="38"/>
        <v>0</v>
      </c>
      <c r="FF15">
        <f t="shared" si="39"/>
        <v>0</v>
      </c>
      <c r="FG15" s="89"/>
      <c r="FH15" s="86" t="str">
        <f t="shared" si="40"/>
        <v/>
      </c>
      <c r="FJ15" t="str">
        <f t="shared" ca="1" si="41"/>
        <v/>
      </c>
      <c r="FK15" t="str">
        <f t="shared" ca="1" si="42"/>
        <v/>
      </c>
      <c r="FX15" s="1" t="str">
        <f>IF($I15="","",psi_i(a_iVal,x_iter5,$G15,Kij_Val,BIPset,$AE$3,COUNTA(Chemicals)))</f>
        <v/>
      </c>
      <c r="FY15" s="1" t="str">
        <f>IF($I15="","",psi_i(a_iVal,y_iter5,$G15,Kij_Val,BIPset,$AE$3,COUNTA(Chemicals)))</f>
        <v/>
      </c>
      <c r="FZ15" s="1"/>
      <c r="GA15" s="1" t="str">
        <f t="shared" ca="1" si="43"/>
        <v/>
      </c>
      <c r="GB15" s="1" t="str">
        <f t="shared" ca="1" si="44"/>
        <v/>
      </c>
      <c r="GC15" s="1"/>
      <c r="GD15" s="1">
        <f>IF($I15="",0,phi_i($FW$7,$FL$7,$FM$7,AC15,$GC$7,FX15,$FZ$7))</f>
        <v>0</v>
      </c>
      <c r="GE15" s="1">
        <f>IF($I15="",0,phi_i($FW$10,$FN$7,$FO$7,AC15,$GC$10,FY15,$FZ$10))</f>
        <v>0</v>
      </c>
      <c r="GF15">
        <f t="shared" si="45"/>
        <v>0</v>
      </c>
      <c r="GG15">
        <f t="shared" si="46"/>
        <v>0</v>
      </c>
      <c r="GH15">
        <f t="shared" si="47"/>
        <v>0</v>
      </c>
      <c r="GI15" s="89"/>
      <c r="GJ15" s="86" t="str">
        <f t="shared" si="48"/>
        <v/>
      </c>
      <c r="GL15" t="str">
        <f t="shared" ca="1" si="49"/>
        <v/>
      </c>
      <c r="GM15" t="str">
        <f t="shared" ca="1" si="50"/>
        <v/>
      </c>
      <c r="GZ15" s="1" t="str">
        <f>IF($I15="","",psi_i(a_iVal,x_iter6,$G15,Kij_Val,BIPset,$AE$3,COUNTA(Chemicals)))</f>
        <v/>
      </c>
      <c r="HA15" s="1" t="str">
        <f>IF($I15="","",psi_i(a_iVal,y_iter6,$G15,Kij_Val,BIPset,$AE$3,COUNTA(Chemicals)))</f>
        <v/>
      </c>
      <c r="HB15" s="1"/>
      <c r="HC15" s="1" t="str">
        <f t="shared" ca="1" si="51"/>
        <v/>
      </c>
      <c r="HD15" s="1" t="str">
        <f t="shared" ca="1" si="52"/>
        <v/>
      </c>
      <c r="HE15" s="1"/>
      <c r="HF15" s="1">
        <f>IF($I15="",0,phi_i($GY$7,$GN$7,$GO$7,AC15,$HE$7,GZ15,$HB$7))</f>
        <v>0</v>
      </c>
      <c r="HG15" s="1">
        <f>IF($I15="",0,phi_i($GY$10,$GP$7,$GQ$7,AC15,$HE$10,HA15,$HB$10))</f>
        <v>0</v>
      </c>
      <c r="HH15">
        <f t="shared" si="53"/>
        <v>0</v>
      </c>
      <c r="HI15">
        <f t="shared" si="54"/>
        <v>0</v>
      </c>
      <c r="HJ15">
        <f t="shared" si="55"/>
        <v>0</v>
      </c>
      <c r="HK15" s="89"/>
      <c r="HL15" s="86" t="str">
        <f t="shared" si="56"/>
        <v/>
      </c>
      <c r="HN15" t="str">
        <f t="shared" ca="1" si="57"/>
        <v/>
      </c>
      <c r="HO15" t="str">
        <f t="shared" ca="1" si="58"/>
        <v/>
      </c>
      <c r="IB15" s="1" t="str">
        <f>IF($I15="","",psi_i(a_iVal,x_iter7,$G15,Kij_Val,BIPset,$AE$3,COUNTA(Chemicals)))</f>
        <v/>
      </c>
      <c r="IC15" s="1" t="str">
        <f>IF($I15="","",psi_i(a_iVal,y_iter7,$G15,Kij_Val,BIPset,$AE$3,COUNTA(Chemicals)))</f>
        <v/>
      </c>
      <c r="ID15" s="1"/>
      <c r="IE15" s="1" t="str">
        <f t="shared" ca="1" si="59"/>
        <v/>
      </c>
      <c r="IF15" s="1" t="str">
        <f t="shared" ca="1" si="60"/>
        <v/>
      </c>
      <c r="IG15" s="1"/>
      <c r="IH15" s="1">
        <f>IF($I15="",0,phi_i($IA$7,$HP$7,$HQ$7,AC15,$IG$7,IB15,$ID$7))</f>
        <v>0</v>
      </c>
      <c r="II15" s="1">
        <f>IF($I15="",0,phi_i($IA$10,$HR$7,$HS$7,AC15,$IG$10,IC15,$ID$10))</f>
        <v>0</v>
      </c>
      <c r="IJ15">
        <f t="shared" si="61"/>
        <v>0</v>
      </c>
      <c r="IK15">
        <f t="shared" si="62"/>
        <v>0</v>
      </c>
      <c r="IL15">
        <f t="shared" si="63"/>
        <v>0</v>
      </c>
      <c r="IM15" s="89"/>
      <c r="IN15" s="86" t="str">
        <f t="shared" si="64"/>
        <v/>
      </c>
      <c r="IP15" t="str">
        <f t="shared" ca="1" si="65"/>
        <v/>
      </c>
      <c r="IQ15" t="str">
        <f t="shared" ca="1" si="66"/>
        <v/>
      </c>
      <c r="JD15" s="1" t="str">
        <f>IF($I15="","",psi_i(a_iVal,x_iter8,$G15,Kij_Val,BIPset,$AE$3,COUNTA(Chemicals)))</f>
        <v/>
      </c>
      <c r="JE15" s="1" t="str">
        <f>IF($I15="","",psi_i(a_iVal,y_iter8,$G15,Kij_Val,BIPset,$AE$3,COUNTA(Chemicals)))</f>
        <v/>
      </c>
      <c r="JF15" s="1"/>
      <c r="JG15" s="1" t="str">
        <f t="shared" ca="1" si="67"/>
        <v/>
      </c>
      <c r="JH15" s="1" t="str">
        <f t="shared" ca="1" si="68"/>
        <v/>
      </c>
      <c r="JI15" s="1"/>
      <c r="JJ15" s="1">
        <f>IF($I15="",0,phi_i($JC$7,$IR$7,$IS$7,AC15,$JI$7,JD15,$JF$7))</f>
        <v>0</v>
      </c>
      <c r="JK15" s="1">
        <f>IF($I15="",0,phi_i($JC$10,$IT$7,$IU$7,AC15,$JI$10,JE15,$JF$10))</f>
        <v>0</v>
      </c>
      <c r="JL15">
        <f t="shared" si="69"/>
        <v>0</v>
      </c>
      <c r="JM15">
        <f t="shared" si="70"/>
        <v>0</v>
      </c>
      <c r="JN15">
        <f t="shared" si="71"/>
        <v>0</v>
      </c>
      <c r="JO15" s="89"/>
    </row>
    <row r="16" spans="1:275">
      <c r="A16" s="1" t="str">
        <f t="shared" si="73"/>
        <v>y_Hexane</v>
      </c>
      <c r="B16" s="101" t="str">
        <f t="shared" ca="1" si="74"/>
        <v/>
      </c>
      <c r="C16" s="112" t="s">
        <v>185</v>
      </c>
      <c r="D16" s="97" t="str">
        <f t="shared" si="75"/>
        <v>x_Hexane</v>
      </c>
      <c r="E16" s="102" t="str">
        <f t="shared" ca="1" si="76"/>
        <v/>
      </c>
      <c r="F16" s="109" t="s">
        <v>185</v>
      </c>
      <c r="G16">
        <v>10</v>
      </c>
      <c r="H16" s="6" t="str">
        <f>IF(Wilson!B16="","",Wilson!B16)</f>
        <v/>
      </c>
      <c r="I16" s="3" t="str">
        <f>IF(Wilson!C16="","",Wilson!C16)</f>
        <v/>
      </c>
      <c r="J16" s="13"/>
      <c r="K16" s="13"/>
      <c r="L16" s="13"/>
      <c r="M16" s="13"/>
      <c r="N16" s="13"/>
      <c r="O16" s="13"/>
      <c r="P16" s="60">
        <f>Wilson!E16</f>
        <v>717</v>
      </c>
      <c r="Q16" s="60">
        <f>Wilson!F16</f>
        <v>1400</v>
      </c>
      <c r="R16" s="60">
        <f>Wilson!G16</f>
        <v>0.47238493999999998</v>
      </c>
      <c r="S16" s="60">
        <f>Wilson!H16</f>
        <v>0.747</v>
      </c>
      <c r="T16" s="13"/>
      <c r="U16" s="13"/>
      <c r="V16" s="1" t="str">
        <f>Wilson!J16</f>
        <v/>
      </c>
      <c r="W16" s="13"/>
      <c r="X16" s="1" t="str">
        <f>IF(Wilson!M16="","",Wilson!M16)</f>
        <v/>
      </c>
      <c r="Y16" s="65" t="str">
        <f>Wilson!N16</f>
        <v/>
      </c>
      <c r="Z16" s="1">
        <f t="shared" si="3"/>
        <v>1.3761015908999998</v>
      </c>
      <c r="AA16" s="1" t="e">
        <f t="shared" ca="1" si="4"/>
        <v>#NAME?</v>
      </c>
      <c r="AB16" s="1" t="e">
        <f t="shared" ca="1" si="0"/>
        <v>#NAME?</v>
      </c>
      <c r="AC16" s="1" t="e">
        <f t="shared" ca="1" si="5"/>
        <v>#NAME?</v>
      </c>
      <c r="AD16" s="74"/>
      <c r="AE16" s="75"/>
      <c r="AF16" s="75"/>
      <c r="AG16" s="75"/>
      <c r="AP16" s="1" t="str">
        <f>IF(I16="","",psi_i(a_iVal,x_iVal,G16,Kij_Val,BIPset,$AE$3,COUNTA(Chemicals)))</f>
        <v/>
      </c>
      <c r="AQ16" s="1" t="str">
        <f>IF(I16="","",psi_i(a_iVal,y_iVal, G16,Kij_Val,BIPset,$AE$3,COUNTA(Chemicals)))</f>
        <v/>
      </c>
      <c r="AR16" s="1"/>
      <c r="AS16" s="1" t="str">
        <f t="shared" ca="1" si="6"/>
        <v/>
      </c>
      <c r="AT16" s="1" t="str">
        <f t="shared" ca="1" si="7"/>
        <v/>
      </c>
      <c r="AU16" s="1"/>
      <c r="AV16" s="1">
        <f>IF(I16="",0,phi_i($AO$7,$AD$7,$AE$7,AC16,$AU$7,AP16,$AR$7))</f>
        <v>0</v>
      </c>
      <c r="AW16" s="1">
        <f>IF(I16="",0,phi_i($AO$10,$AF$7,$AG$7,AC16,$AU$10,AQ16,$AR$10))</f>
        <v>0</v>
      </c>
      <c r="AX16" s="1">
        <f t="shared" si="72"/>
        <v>0</v>
      </c>
      <c r="AY16" s="79"/>
      <c r="AZ16" s="86" t="str">
        <f t="shared" si="8"/>
        <v/>
      </c>
      <c r="BB16">
        <f t="shared" ca="1" si="9"/>
        <v>0</v>
      </c>
      <c r="BC16">
        <f t="shared" ca="1" si="10"/>
        <v>0</v>
      </c>
      <c r="BP16" s="1" t="str">
        <f>IF(I16="","",psi_i(a_iVal,x_iter1,G16,Kij_Val,BIPset,$AE$3,COUNTA(Chemicals)))</f>
        <v/>
      </c>
      <c r="BQ16" s="1" t="str">
        <f>IF(I16="","",psi_i(a_iVal,y_iter1,G16,Kij_Val,BIPset,$AE$3,COUNTA(Chemicals)))</f>
        <v/>
      </c>
      <c r="BR16" s="1"/>
      <c r="BS16" s="1" t="e">
        <f t="shared" ca="1" si="11"/>
        <v>#NAME?</v>
      </c>
      <c r="BT16" s="1" t="e">
        <f t="shared" ca="1" si="12"/>
        <v>#NAME?</v>
      </c>
      <c r="BU16" s="1"/>
      <c r="BV16" s="1">
        <f>IF(I16="",0,phi_i($BO$7,$BD$7,$BE$7,AC16,$BU$7,BP16,$BR$7))</f>
        <v>0</v>
      </c>
      <c r="BW16" s="1">
        <f>IF(I16="",0,phi_i($BO$10,$BF$7,$BG$7,AC16,$BU$10,BQ16,$BR$10))</f>
        <v>0</v>
      </c>
      <c r="BX16">
        <f t="shared" si="13"/>
        <v>0</v>
      </c>
      <c r="BY16">
        <f t="shared" si="14"/>
        <v>0</v>
      </c>
      <c r="BZ16">
        <f t="shared" si="15"/>
        <v>0</v>
      </c>
      <c r="CA16" s="89"/>
      <c r="CB16" s="86" t="str">
        <f t="shared" si="16"/>
        <v/>
      </c>
      <c r="CD16" t="str">
        <f t="shared" ca="1" si="17"/>
        <v/>
      </c>
      <c r="CE16" t="str">
        <f t="shared" ca="1" si="18"/>
        <v/>
      </c>
      <c r="CR16" s="1" t="str">
        <f>IF($I16="","",psi_i(a_iVal,x_iter2,$G16,Kij_Val,BIPset,$AE$3,COUNTA(Chemicals)))</f>
        <v/>
      </c>
      <c r="CS16" s="1" t="str">
        <f>IF($I16="","",psi_i(a_iVal,y_iter2,$G16,Kij_Val,BIPset,$AE$3,COUNTA(Chemicals)))</f>
        <v/>
      </c>
      <c r="CT16" s="1"/>
      <c r="CU16" s="1" t="str">
        <f t="shared" ca="1" si="19"/>
        <v/>
      </c>
      <c r="CV16" s="1" t="str">
        <f t="shared" ca="1" si="20"/>
        <v/>
      </c>
      <c r="CW16" s="1"/>
      <c r="CX16" s="1">
        <f>IF($I16="",0,phi_i($CQ$7,$CF$7,$CG$7,AC16,$CW$7,CR16,$CT$7))</f>
        <v>0</v>
      </c>
      <c r="CY16" s="1">
        <f>IF($I16="",0,phi_i($CQ$10,$CH$7,$CI$7,AC16,$CW$10,CS16,$CT$10))</f>
        <v>0</v>
      </c>
      <c r="CZ16">
        <f t="shared" si="21"/>
        <v>0</v>
      </c>
      <c r="DA16">
        <f t="shared" si="22"/>
        <v>0</v>
      </c>
      <c r="DB16">
        <f t="shared" si="23"/>
        <v>0</v>
      </c>
      <c r="DC16" s="89"/>
      <c r="DD16" s="86" t="str">
        <f t="shared" si="24"/>
        <v/>
      </c>
      <c r="DF16" t="str">
        <f t="shared" ca="1" si="25"/>
        <v/>
      </c>
      <c r="DG16" t="str">
        <f t="shared" ca="1" si="26"/>
        <v/>
      </c>
      <c r="DT16" s="1" t="str">
        <f>IF($I16="","",psi_i(a_iVal,x_iter3,$G16,Kij_Val,BIPset,$AE$3,COUNTA(Chemicals)))</f>
        <v/>
      </c>
      <c r="DU16" s="1" t="str">
        <f>IF($I16="","",psi_i(a_iVal,y_iter3,$G16,Kij_Val,BIPset,$AE$3,COUNTA(Chemicals)))</f>
        <v/>
      </c>
      <c r="DV16" s="1"/>
      <c r="DW16" s="1" t="str">
        <f t="shared" ca="1" si="27"/>
        <v/>
      </c>
      <c r="DX16" s="1" t="str">
        <f t="shared" ca="1" si="28"/>
        <v/>
      </c>
      <c r="DY16" s="1"/>
      <c r="DZ16" s="1">
        <f>IF($I16="",0,phi_i($DS$7,$DH$7,$DI$7,AC16,$DY$7,DT16,$DV$7))</f>
        <v>0</v>
      </c>
      <c r="EA16" s="1">
        <f>IF($I16="",0,phi_i($DS$10,$DJ$7,$DK$7,AC16,$DY$10,DU16,$DV$10))</f>
        <v>0</v>
      </c>
      <c r="EB16">
        <f t="shared" si="29"/>
        <v>0</v>
      </c>
      <c r="EC16">
        <f t="shared" si="30"/>
        <v>0</v>
      </c>
      <c r="ED16">
        <f t="shared" si="31"/>
        <v>0</v>
      </c>
      <c r="EE16" s="89"/>
      <c r="EF16" s="86" t="str">
        <f t="shared" si="32"/>
        <v/>
      </c>
      <c r="EH16" t="str">
        <f t="shared" ca="1" si="33"/>
        <v/>
      </c>
      <c r="EI16" t="str">
        <f t="shared" ca="1" si="34"/>
        <v/>
      </c>
      <c r="EV16" s="1" t="str">
        <f>IF($I16="","",psi_i(a_iVal,x_iter4,$G16,Kij_Val,BIPset,$AE$3,COUNTA(Chemicals)))</f>
        <v/>
      </c>
      <c r="EW16" s="1" t="str">
        <f>IF($I16="","",psi_i(a_iVal,y_iter4,$G16,Kij_Val,BIPset,$AE$3,COUNTA(Chemicals)))</f>
        <v/>
      </c>
      <c r="EX16" s="1"/>
      <c r="EY16" s="1" t="str">
        <f t="shared" ca="1" si="35"/>
        <v/>
      </c>
      <c r="EZ16" s="1" t="str">
        <f t="shared" ca="1" si="36"/>
        <v/>
      </c>
      <c r="FA16" s="1"/>
      <c r="FB16" s="1">
        <f>IF($I16="",0,phi_i($EU$7,$EJ$7,$EK$7,AC16,$FA$7,EV16,$EX$7))</f>
        <v>0</v>
      </c>
      <c r="FC16" s="1">
        <f>IF($I16="",0,phi_i($EU$10,$EL$7,$EM$7,AC16,$FA$10,EW16,$EX$10))</f>
        <v>0</v>
      </c>
      <c r="FD16">
        <f t="shared" si="37"/>
        <v>0</v>
      </c>
      <c r="FE16">
        <f t="shared" si="38"/>
        <v>0</v>
      </c>
      <c r="FF16">
        <f t="shared" si="39"/>
        <v>0</v>
      </c>
      <c r="FG16" s="89"/>
      <c r="FH16" s="86" t="str">
        <f t="shared" si="40"/>
        <v/>
      </c>
      <c r="FJ16" t="str">
        <f t="shared" ca="1" si="41"/>
        <v/>
      </c>
      <c r="FK16" t="str">
        <f t="shared" ca="1" si="42"/>
        <v/>
      </c>
      <c r="FX16" s="1" t="str">
        <f>IF($I16="","",psi_i(a_iVal,x_iter5,$G16,Kij_Val,BIPset,$AE$3,COUNTA(Chemicals)))</f>
        <v/>
      </c>
      <c r="FY16" s="1" t="str">
        <f>IF($I16="","",psi_i(a_iVal,y_iter5,$G16,Kij_Val,BIPset,$AE$3,COUNTA(Chemicals)))</f>
        <v/>
      </c>
      <c r="FZ16" s="1"/>
      <c r="GA16" s="1" t="str">
        <f t="shared" ca="1" si="43"/>
        <v/>
      </c>
      <c r="GB16" s="1" t="str">
        <f t="shared" ca="1" si="44"/>
        <v/>
      </c>
      <c r="GC16" s="1"/>
      <c r="GD16" s="1">
        <f>IF($I16="",0,phi_i($FW$7,$FL$7,$FM$7,AC16,$GC$7,FX16,$FZ$7))</f>
        <v>0</v>
      </c>
      <c r="GE16" s="1">
        <f>IF($I16="",0,phi_i($FW$10,$FN$7,$FO$7,AC16,$GC$10,FY16,$FZ$10))</f>
        <v>0</v>
      </c>
      <c r="GF16">
        <f t="shared" si="45"/>
        <v>0</v>
      </c>
      <c r="GG16">
        <f t="shared" si="46"/>
        <v>0</v>
      </c>
      <c r="GH16">
        <f t="shared" si="47"/>
        <v>0</v>
      </c>
      <c r="GI16" s="89"/>
      <c r="GJ16" s="86" t="str">
        <f t="shared" si="48"/>
        <v/>
      </c>
      <c r="GL16" t="str">
        <f t="shared" ca="1" si="49"/>
        <v/>
      </c>
      <c r="GM16" t="str">
        <f t="shared" ca="1" si="50"/>
        <v/>
      </c>
      <c r="GZ16" s="1" t="str">
        <f>IF($I16="","",psi_i(a_iVal,x_iter6,$G16,Kij_Val,BIPset,$AE$3,COUNTA(Chemicals)))</f>
        <v/>
      </c>
      <c r="HA16" s="1" t="str">
        <f>IF($I16="","",psi_i(a_iVal,y_iter6,$G16,Kij_Val,BIPset,$AE$3,COUNTA(Chemicals)))</f>
        <v/>
      </c>
      <c r="HB16" s="1"/>
      <c r="HC16" s="1" t="str">
        <f t="shared" ca="1" si="51"/>
        <v/>
      </c>
      <c r="HD16" s="1" t="str">
        <f t="shared" ca="1" si="52"/>
        <v/>
      </c>
      <c r="HE16" s="1"/>
      <c r="HF16" s="1">
        <f>IF($I16="",0,phi_i($GY$7,$GN$7,$GO$7,AC16,$HE$7,GZ16,$HB$7))</f>
        <v>0</v>
      </c>
      <c r="HG16" s="1">
        <f>IF($I16="",0,phi_i($GY$10,$GP$7,$GQ$7,AC16,$HE$10,HA16,$HB$10))</f>
        <v>0</v>
      </c>
      <c r="HH16">
        <f t="shared" si="53"/>
        <v>0</v>
      </c>
      <c r="HI16">
        <f t="shared" si="54"/>
        <v>0</v>
      </c>
      <c r="HJ16">
        <f t="shared" si="55"/>
        <v>0</v>
      </c>
      <c r="HK16" s="89"/>
      <c r="HL16" s="86" t="str">
        <f t="shared" si="56"/>
        <v/>
      </c>
      <c r="HN16" t="str">
        <f t="shared" ca="1" si="57"/>
        <v/>
      </c>
      <c r="HO16" t="str">
        <f t="shared" ca="1" si="58"/>
        <v/>
      </c>
      <c r="IB16" s="1" t="str">
        <f>IF($I16="","",psi_i(a_iVal,x_iter7,$G16,Kij_Val,BIPset,$AE$3,COUNTA(Chemicals)))</f>
        <v/>
      </c>
      <c r="IC16" s="1" t="str">
        <f>IF($I16="","",psi_i(a_iVal,y_iter7,$G16,Kij_Val,BIPset,$AE$3,COUNTA(Chemicals)))</f>
        <v/>
      </c>
      <c r="ID16" s="1"/>
      <c r="IE16" s="1" t="str">
        <f t="shared" ca="1" si="59"/>
        <v/>
      </c>
      <c r="IF16" s="1" t="str">
        <f t="shared" ca="1" si="60"/>
        <v/>
      </c>
      <c r="IG16" s="1"/>
      <c r="IH16" s="1">
        <f>IF($I16="",0,phi_i($IA$7,$HP$7,$HQ$7,AC16,$IG$7,IB16,$ID$7))</f>
        <v>0</v>
      </c>
      <c r="II16" s="1">
        <f>IF($I16="",0,phi_i($IA$10,$HR$7,$HS$7,AC16,$IG$10,IC16,$ID$10))</f>
        <v>0</v>
      </c>
      <c r="IJ16">
        <f t="shared" si="61"/>
        <v>0</v>
      </c>
      <c r="IK16">
        <f t="shared" si="62"/>
        <v>0</v>
      </c>
      <c r="IL16">
        <f t="shared" si="63"/>
        <v>0</v>
      </c>
      <c r="IM16" s="89"/>
      <c r="IN16" s="86" t="str">
        <f t="shared" si="64"/>
        <v/>
      </c>
      <c r="IP16" t="str">
        <f t="shared" ca="1" si="65"/>
        <v/>
      </c>
      <c r="IQ16" t="str">
        <f t="shared" ca="1" si="66"/>
        <v/>
      </c>
      <c r="JD16" s="1" t="str">
        <f>IF($I16="","",psi_i(a_iVal,x_iter8,$G16,Kij_Val,BIPset,$AE$3,COUNTA(Chemicals)))</f>
        <v/>
      </c>
      <c r="JE16" s="1" t="str">
        <f>IF($I16="","",psi_i(a_iVal,y_iter8,$G16,Kij_Val,BIPset,$AE$3,COUNTA(Chemicals)))</f>
        <v/>
      </c>
      <c r="JF16" s="1"/>
      <c r="JG16" s="1" t="str">
        <f t="shared" ca="1" si="67"/>
        <v/>
      </c>
      <c r="JH16" s="1" t="str">
        <f t="shared" ca="1" si="68"/>
        <v/>
      </c>
      <c r="JI16" s="1"/>
      <c r="JJ16" s="1">
        <f>IF($I16="",0,phi_i($JC$7,$IR$7,$IS$7,AC16,$JI$7,JD16,$JF$7))</f>
        <v>0</v>
      </c>
      <c r="JK16" s="1">
        <f>IF($I16="",0,phi_i($JC$10,$IT$7,$IU$7,AC16,$JI$10,JE16,$JF$10))</f>
        <v>0</v>
      </c>
      <c r="JL16">
        <f t="shared" si="69"/>
        <v>0</v>
      </c>
      <c r="JM16">
        <f t="shared" si="70"/>
        <v>0</v>
      </c>
      <c r="JN16">
        <f t="shared" si="71"/>
        <v>0</v>
      </c>
      <c r="JO16" s="89"/>
    </row>
    <row r="17" spans="1:275">
      <c r="A17" s="1" t="str">
        <f t="shared" si="73"/>
        <v>y_Cyclohexane</v>
      </c>
      <c r="B17" s="101" t="str">
        <f t="shared" ca="1" si="74"/>
        <v/>
      </c>
      <c r="C17" s="112" t="s">
        <v>185</v>
      </c>
      <c r="D17" s="97" t="str">
        <f t="shared" si="75"/>
        <v>x_Cyclohexane</v>
      </c>
      <c r="E17" s="102" t="str">
        <f t="shared" ca="1" si="76"/>
        <v/>
      </c>
      <c r="F17" s="109" t="s">
        <v>185</v>
      </c>
      <c r="H17" s="6" t="str">
        <f>IF(Wilson!B17="","",Wilson!B17)</f>
        <v/>
      </c>
      <c r="I17" s="3" t="str">
        <f>IF(Wilson!C17="","",Wilson!C17)</f>
        <v/>
      </c>
      <c r="J17" s="13"/>
      <c r="K17" s="13"/>
      <c r="L17" s="13"/>
      <c r="M17" s="13"/>
      <c r="N17" s="13"/>
      <c r="O17" s="13"/>
      <c r="P17" s="60"/>
      <c r="Q17" s="60"/>
      <c r="R17" s="60"/>
      <c r="S17" s="60"/>
      <c r="T17" s="13"/>
      <c r="U17" s="13"/>
      <c r="V17" s="1"/>
      <c r="W17" s="13"/>
      <c r="X17" s="1" t="str">
        <f>IF(Wilson!M17="","",Wilson!M17)</f>
        <v/>
      </c>
      <c r="Y17" s="13"/>
      <c r="Z17" s="13"/>
      <c r="AA17" s="13"/>
      <c r="AB17" s="13"/>
      <c r="AC17" s="13"/>
      <c r="AD17" s="74"/>
      <c r="AE17" s="75"/>
      <c r="AF17" s="75"/>
      <c r="AG17" s="75"/>
      <c r="AP17" s="1" t="str">
        <f>IF(I17="","",psi_i(a_iVal,x_iVal,G17,Kij_Val,BIPset,$AE$3,COUNTA(Chemicals)))</f>
        <v/>
      </c>
      <c r="AQ17" s="1" t="str">
        <f>IF(I17="","",psi_i(a_iVal,y_iVal, G17,Kij_Val,BIPset,$AE$3,COUNTA(Chemicals)))</f>
        <v/>
      </c>
      <c r="AR17" s="1"/>
      <c r="AS17" s="1" t="str">
        <f t="shared" si="6"/>
        <v/>
      </c>
      <c r="AT17" s="1">
        <f t="shared" si="7"/>
        <v>0</v>
      </c>
      <c r="AU17" s="1"/>
      <c r="AV17" s="1"/>
      <c r="AW17" s="1"/>
      <c r="AX17" s="1"/>
      <c r="BP17" s="1" t="str">
        <f>IF(I17="","",psi_i(a_iVal,x_iter1,G17,Kij_Val,BIPset,$AE$3,COUNTA(Chemicals)))</f>
        <v/>
      </c>
      <c r="BQ17" s="1" t="str">
        <f>IF(I17="","",psi_i(a_iVal,y_iter1,G17,Kij_Val,BIPset,$AE$3,COUNTA(Chemicals)))</f>
        <v/>
      </c>
      <c r="BR17" s="1"/>
      <c r="BS17" s="1">
        <f t="shared" si="11"/>
        <v>0</v>
      </c>
      <c r="BT17" s="1">
        <f t="shared" si="12"/>
        <v>0</v>
      </c>
      <c r="BU17" s="1"/>
      <c r="BV17" s="1">
        <f>IF(I17="",0,phi_i($BO$7,$BD$7,$BE$7,AC17,$BU$7,BP17,$BR$7))</f>
        <v>0</v>
      </c>
      <c r="BW17" s="1">
        <f>IF(I17="",0,phi_i($BO$10,$BF$7,$BG$7,AC17,$BU$10,BQ17,$BR$10))</f>
        <v>0</v>
      </c>
      <c r="BX17">
        <f t="shared" si="13"/>
        <v>0</v>
      </c>
      <c r="BY17">
        <f t="shared" si="14"/>
        <v>0</v>
      </c>
      <c r="BZ17">
        <f t="shared" si="15"/>
        <v>0</v>
      </c>
      <c r="CA17" s="89"/>
      <c r="CB17" s="86" t="str">
        <f t="shared" si="16"/>
        <v/>
      </c>
      <c r="CD17" t="str">
        <f t="shared" ca="1" si="17"/>
        <v/>
      </c>
      <c r="CE17" t="str">
        <f t="shared" ca="1" si="18"/>
        <v/>
      </c>
      <c r="CR17" s="1" t="str">
        <f>IF($I17="","",psi_i(a_iVal,x_iter2,$G17,Kij_Val,BIPset,$AE$3,COUNTA(Chemicals)))</f>
        <v/>
      </c>
      <c r="CS17" s="1" t="str">
        <f>IF($I17="","",psi_i(a_iVal,y_iter2,$G17,Kij_Val,BIPset,$AE$3,COUNTA(Chemicals)))</f>
        <v/>
      </c>
      <c r="CT17" s="1"/>
      <c r="CU17" s="1" t="str">
        <f t="shared" ca="1" si="19"/>
        <v/>
      </c>
      <c r="CV17" s="1" t="str">
        <f t="shared" ca="1" si="20"/>
        <v/>
      </c>
      <c r="CW17" s="1"/>
      <c r="CX17" s="1">
        <f>IF($I17="",0,phi_i($CQ$7,$CF$7,$CG$7,AC17,$CW$7,CR17,$CT$7))</f>
        <v>0</v>
      </c>
      <c r="CY17" s="1">
        <f>IF($I17="",0,phi_i($CQ$10,$CH$7,$CI$7,AC17,$CW$10,CS17,$CT$10))</f>
        <v>0</v>
      </c>
      <c r="CZ17">
        <f t="shared" si="21"/>
        <v>0</v>
      </c>
      <c r="DA17">
        <f t="shared" si="22"/>
        <v>0</v>
      </c>
      <c r="DB17">
        <f t="shared" si="23"/>
        <v>0</v>
      </c>
      <c r="DC17" s="89"/>
      <c r="DD17" s="86" t="str">
        <f t="shared" si="24"/>
        <v/>
      </c>
      <c r="DF17" t="str">
        <f t="shared" ca="1" si="25"/>
        <v/>
      </c>
      <c r="DG17" t="str">
        <f t="shared" ca="1" si="26"/>
        <v/>
      </c>
      <c r="DT17" s="1" t="str">
        <f>IF($I17="","",psi_i(a_iVal,x_iter3,$G17,Kij_Val,BIPset,$AE$3,COUNTA(Chemicals)))</f>
        <v/>
      </c>
      <c r="DU17" s="1" t="str">
        <f>IF($I17="","",psi_i(a_iVal,y_iter3,$G17,Kij_Val,BIPset,$AE$3,COUNTA(Chemicals)))</f>
        <v/>
      </c>
      <c r="DV17" s="1"/>
      <c r="DW17" s="1" t="str">
        <f t="shared" ca="1" si="27"/>
        <v/>
      </c>
      <c r="DX17" s="1" t="str">
        <f t="shared" ca="1" si="28"/>
        <v/>
      </c>
      <c r="DY17" s="1"/>
      <c r="DZ17" s="1">
        <f>IF($I17="",0,phi_i($DS$7,$DH$7,$DI$7,AC17,$DY$7,DT17,$DV$7))</f>
        <v>0</v>
      </c>
      <c r="EA17" s="1">
        <f>IF($I17="",0,phi_i($DS$10,$DJ$7,$DK$7,AC17,$DY$10,DU17,$DV$10))</f>
        <v>0</v>
      </c>
      <c r="EB17">
        <f t="shared" si="29"/>
        <v>0</v>
      </c>
      <c r="EC17">
        <f t="shared" si="30"/>
        <v>0</v>
      </c>
      <c r="ED17">
        <f t="shared" si="31"/>
        <v>0</v>
      </c>
      <c r="EE17" s="89"/>
      <c r="EF17" s="86" t="str">
        <f t="shared" si="32"/>
        <v/>
      </c>
      <c r="EH17" t="str">
        <f t="shared" ca="1" si="33"/>
        <v/>
      </c>
      <c r="EI17" t="str">
        <f t="shared" ca="1" si="34"/>
        <v/>
      </c>
      <c r="EV17" s="1" t="str">
        <f>IF($I17="","",psi_i(a_iVal,x_iter4,$G17,Kij_Val,BIPset,$AE$3,COUNTA(Chemicals)))</f>
        <v/>
      </c>
      <c r="EW17" s="1" t="str">
        <f>IF($I17="","",psi_i(a_iVal,y_iter4,$G17,Kij_Val,BIPset,$AE$3,COUNTA(Chemicals)))</f>
        <v/>
      </c>
      <c r="EX17" s="1"/>
      <c r="EY17" s="1" t="str">
        <f t="shared" ca="1" si="35"/>
        <v/>
      </c>
      <c r="EZ17" s="1" t="str">
        <f t="shared" ca="1" si="36"/>
        <v/>
      </c>
      <c r="FA17" s="1"/>
      <c r="FB17" s="1">
        <f>IF($I17="",0,phi_i($EU$7,$EJ$7,$EK$7,AC17,$FA$7,EV17,$EX$7))</f>
        <v>0</v>
      </c>
      <c r="FC17" s="1">
        <f>IF($I17="",0,phi_i($EU$10,$EL$7,$EM$7,AC17,$FA$10,EW17,$EX$10))</f>
        <v>0</v>
      </c>
      <c r="FD17">
        <f t="shared" si="37"/>
        <v>0</v>
      </c>
      <c r="FE17">
        <f t="shared" si="38"/>
        <v>0</v>
      </c>
      <c r="FF17">
        <f t="shared" si="39"/>
        <v>0</v>
      </c>
      <c r="FG17" s="89"/>
      <c r="FH17" s="86" t="str">
        <f t="shared" si="40"/>
        <v/>
      </c>
      <c r="FJ17" t="str">
        <f t="shared" ca="1" si="41"/>
        <v/>
      </c>
      <c r="FK17" t="str">
        <f t="shared" ca="1" si="42"/>
        <v/>
      </c>
      <c r="FX17" s="1" t="str">
        <f>IF($I17="","",psi_i(a_iVal,x_iter5,$G17,Kij_Val,BIPset,$AE$3,COUNTA(Chemicals)))</f>
        <v/>
      </c>
      <c r="FY17" s="1" t="str">
        <f>IF($I17="","",psi_i(a_iVal,y_iter5,$G17,Kij_Val,BIPset,$AE$3,COUNTA(Chemicals)))</f>
        <v/>
      </c>
      <c r="FZ17" s="1"/>
      <c r="GA17" s="1" t="str">
        <f t="shared" ca="1" si="43"/>
        <v/>
      </c>
      <c r="GB17" s="1" t="str">
        <f t="shared" ca="1" si="44"/>
        <v/>
      </c>
      <c r="GC17" s="1"/>
      <c r="GD17" s="1">
        <f>IF($I17="",0,phi_i($FW$7,$FL$7,$FM$7,AC17,$GC$7,FX17,$FZ$7))</f>
        <v>0</v>
      </c>
      <c r="GE17" s="1">
        <f>IF($I17="",0,phi_i($FW$10,$FN$7,$FO$7,AC17,$GC$10,FY17,$FZ$10))</f>
        <v>0</v>
      </c>
      <c r="GF17">
        <f t="shared" si="45"/>
        <v>0</v>
      </c>
      <c r="GG17">
        <f t="shared" si="46"/>
        <v>0</v>
      </c>
      <c r="GH17">
        <f t="shared" si="47"/>
        <v>0</v>
      </c>
      <c r="GI17" s="89"/>
      <c r="GJ17" s="86" t="str">
        <f t="shared" si="48"/>
        <v/>
      </c>
      <c r="GL17" t="str">
        <f t="shared" ca="1" si="49"/>
        <v/>
      </c>
      <c r="GM17" t="str">
        <f t="shared" ca="1" si="50"/>
        <v/>
      </c>
      <c r="GZ17" s="1" t="str">
        <f>IF($I17="","",psi_i(a_iVal,x_iter6,$G17,Kij_Val,BIPset,$AE$3,COUNTA(Chemicals)))</f>
        <v/>
      </c>
      <c r="HA17" s="1" t="str">
        <f>IF($I17="","",psi_i(a_iVal,y_iter6,$G17,Kij_Val,BIPset,$AE$3,COUNTA(Chemicals)))</f>
        <v/>
      </c>
      <c r="HB17" s="1"/>
      <c r="HC17" s="1" t="str">
        <f t="shared" ca="1" si="51"/>
        <v/>
      </c>
      <c r="HD17" s="1" t="str">
        <f t="shared" ca="1" si="52"/>
        <v/>
      </c>
      <c r="HE17" s="1"/>
      <c r="HF17" s="1">
        <f>IF($I17="",0,phi_i($GY$7,$GN$7,$GO$7,AC17,$HE$7,GZ17,$HB$7))</f>
        <v>0</v>
      </c>
      <c r="HG17" s="1">
        <f>IF($I17="",0,phi_i($GY$10,$GP$7,$GQ$7,AC17,$HE$10,HA17,$HB$10))</f>
        <v>0</v>
      </c>
      <c r="HH17">
        <f t="shared" si="53"/>
        <v>0</v>
      </c>
      <c r="HI17">
        <f t="shared" si="54"/>
        <v>0</v>
      </c>
      <c r="HJ17">
        <f t="shared" si="55"/>
        <v>0</v>
      </c>
      <c r="HK17" s="89"/>
      <c r="HL17" s="86" t="str">
        <f t="shared" si="56"/>
        <v/>
      </c>
      <c r="HN17" t="str">
        <f t="shared" ca="1" si="57"/>
        <v/>
      </c>
      <c r="HO17" t="str">
        <f t="shared" ca="1" si="58"/>
        <v/>
      </c>
      <c r="IB17" s="1" t="str">
        <f>IF($I17="","",psi_i(a_iVal,x_iter7,$G17,Kij_Val,BIPset,$AE$3,COUNTA(Chemicals)))</f>
        <v/>
      </c>
      <c r="IC17" s="1" t="str">
        <f>IF($I17="","",psi_i(a_iVal,y_iter7,$G17,Kij_Val,BIPset,$AE$3,COUNTA(Chemicals)))</f>
        <v/>
      </c>
      <c r="ID17" s="1"/>
      <c r="IE17" s="1" t="str">
        <f t="shared" ca="1" si="59"/>
        <v/>
      </c>
      <c r="IF17" s="1" t="str">
        <f t="shared" ca="1" si="60"/>
        <v/>
      </c>
      <c r="IG17" s="1"/>
      <c r="IH17" s="1">
        <f>IF($I17="",0,phi_i($IA$7,$HP$7,$HQ$7,AC17,$IG$7,IB17,$ID$7))</f>
        <v>0</v>
      </c>
      <c r="II17" s="1">
        <f>IF($I17="",0,phi_i($IA$10,$HR$7,$HS$7,AC17,$IG$10,IC17,$ID$10))</f>
        <v>0</v>
      </c>
      <c r="IJ17">
        <f t="shared" si="61"/>
        <v>0</v>
      </c>
      <c r="IK17">
        <f t="shared" si="62"/>
        <v>0</v>
      </c>
      <c r="IL17">
        <f t="shared" si="63"/>
        <v>0</v>
      </c>
      <c r="IM17" s="89"/>
      <c r="IN17" s="86" t="str">
        <f t="shared" si="64"/>
        <v/>
      </c>
      <c r="IP17" t="str">
        <f t="shared" ca="1" si="65"/>
        <v/>
      </c>
      <c r="IQ17" t="str">
        <f t="shared" ca="1" si="66"/>
        <v/>
      </c>
      <c r="JD17" s="1" t="str">
        <f>IF($I17="","",psi_i(a_iVal,x_iter8,$G17,Kij_Val,BIPset,$AE$3,COUNTA(Chemicals)))</f>
        <v/>
      </c>
      <c r="JE17" s="1" t="str">
        <f>IF($I17="","",psi_i(a_iVal,y_iter8,$G17,Kij_Val,BIPset,$AE$3,COUNTA(Chemicals)))</f>
        <v/>
      </c>
      <c r="JF17" s="1"/>
      <c r="JG17" s="1" t="str">
        <f t="shared" ca="1" si="67"/>
        <v/>
      </c>
      <c r="JH17" s="1" t="str">
        <f t="shared" ca="1" si="68"/>
        <v/>
      </c>
      <c r="JI17" s="1"/>
      <c r="JJ17" s="1">
        <f>IF($I17="",0,phi_i($JC$7,$IR$7,$IS$7,AC17,$JI$7,JD17,$JF$7))</f>
        <v>0</v>
      </c>
      <c r="JK17" s="1">
        <f>IF($I17="",0,phi_i($JC$10,$IT$7,$IU$7,AC17,$JI$10,JE17,$JF$10))</f>
        <v>0</v>
      </c>
      <c r="JL17">
        <f t="shared" si="69"/>
        <v>0</v>
      </c>
      <c r="JM17">
        <f t="shared" si="70"/>
        <v>0</v>
      </c>
      <c r="JN17">
        <f t="shared" si="71"/>
        <v>0</v>
      </c>
      <c r="JO17" s="89"/>
    </row>
    <row r="18" spans="1:275">
      <c r="A18" s="1" t="str">
        <f t="shared" si="73"/>
        <v>y_Water</v>
      </c>
      <c r="B18" s="101" t="str">
        <f t="shared" ca="1" si="74"/>
        <v/>
      </c>
      <c r="C18" s="112" t="s">
        <v>185</v>
      </c>
      <c r="D18" s="97" t="str">
        <f t="shared" si="75"/>
        <v>x_Water</v>
      </c>
      <c r="E18" s="102" t="str">
        <f t="shared" ca="1" si="76"/>
        <v/>
      </c>
      <c r="F18" s="109" t="s">
        <v>185</v>
      </c>
      <c r="H18" s="6" t="str">
        <f>IF(Wilson!B18="","",Wilson!B18)</f>
        <v/>
      </c>
      <c r="I18" s="3" t="str">
        <f>IF(Wilson!C18="","",Wilson!C18)</f>
        <v/>
      </c>
      <c r="J18" s="13"/>
      <c r="K18" s="13"/>
      <c r="L18" s="13"/>
      <c r="M18" s="13"/>
      <c r="N18" s="13"/>
      <c r="O18" s="13"/>
      <c r="P18" s="13"/>
      <c r="Q18" s="13"/>
      <c r="R18" s="13"/>
      <c r="S18" s="13"/>
      <c r="T18" s="13"/>
      <c r="U18" s="13"/>
      <c r="V18" s="13"/>
      <c r="W18" s="13"/>
      <c r="X18" s="1" t="str">
        <f>IF(Wilson!M18="","",Wilson!M18)</f>
        <v/>
      </c>
      <c r="Y18" s="13"/>
      <c r="Z18" s="13"/>
      <c r="AA18" s="13"/>
      <c r="AB18" s="13"/>
      <c r="AC18" s="13"/>
      <c r="AD18" s="74"/>
      <c r="AE18" s="75"/>
      <c r="AF18" s="75"/>
      <c r="AG18" s="75"/>
      <c r="AP18" s="1" t="str">
        <f>IF(I18="","",psi_i(a_iVal,x_iVal,G18,Kij_Val,BIPset,$AE$3,COUNTA(Chemicals)))</f>
        <v/>
      </c>
      <c r="AQ18" s="1" t="str">
        <f>IF(I18="","",psi_i(a_iVal,y_iVal, G18,Kij_Val,BIPset,$AE$3,COUNTA(Chemicals)))</f>
        <v/>
      </c>
      <c r="AR18" s="1"/>
      <c r="AS18" s="1" t="str">
        <f t="shared" si="6"/>
        <v/>
      </c>
      <c r="AT18" s="1">
        <f t="shared" si="7"/>
        <v>0</v>
      </c>
      <c r="AU18" s="1"/>
      <c r="AV18" s="1"/>
      <c r="AW18" s="1"/>
      <c r="AX18" s="1"/>
      <c r="BP18" s="1" t="str">
        <f>IF(I18="","",psi_i(a_iVal,x_iter1,G18,Kij_Val,BIPset,$AE$3,COUNTA(Chemicals)))</f>
        <v/>
      </c>
      <c r="BQ18" s="1" t="str">
        <f>IF(I18="","",psi_i(a_iVal,y_iter1,G18,Kij_Val,BIPset,$AE$3,COUNTA(Chemicals)))</f>
        <v/>
      </c>
      <c r="BR18" s="1"/>
      <c r="BS18" s="1">
        <f t="shared" si="11"/>
        <v>0</v>
      </c>
      <c r="BT18" s="1">
        <f t="shared" si="12"/>
        <v>0</v>
      </c>
      <c r="BU18" s="1"/>
      <c r="BV18" s="1">
        <f>IF(I18="",0,phi_i($BO$7,$BD$7,$BE$7,AC18,$BU$7,BP18,$BR$7))</f>
        <v>0</v>
      </c>
      <c r="BW18" s="1">
        <f>IF(I18="",0,phi_i($BO$10,$BF$7,$BG$7,AC18,$BU$10,BQ18,$BR$10))</f>
        <v>0</v>
      </c>
      <c r="BX18">
        <f t="shared" si="13"/>
        <v>0</v>
      </c>
      <c r="BY18">
        <f t="shared" si="14"/>
        <v>0</v>
      </c>
      <c r="BZ18">
        <f t="shared" si="15"/>
        <v>0</v>
      </c>
      <c r="CA18" s="89"/>
      <c r="CB18" s="86" t="str">
        <f t="shared" si="16"/>
        <v/>
      </c>
      <c r="CD18" t="str">
        <f t="shared" ca="1" si="17"/>
        <v/>
      </c>
      <c r="CE18" t="str">
        <f t="shared" ca="1" si="18"/>
        <v/>
      </c>
      <c r="CR18" s="1" t="str">
        <f>IF($I18="","",psi_i(a_iVal,x_iter2,$G18,Kij_Val,BIPset,$AE$3,COUNTA(Chemicals)))</f>
        <v/>
      </c>
      <c r="CS18" s="1" t="str">
        <f>IF($I18="","",psi_i(a_iVal,y_iter2,$G18,Kij_Val,BIPset,$AE$3,COUNTA(Chemicals)))</f>
        <v/>
      </c>
      <c r="CT18" s="1"/>
      <c r="CU18" s="1" t="str">
        <f t="shared" ca="1" si="19"/>
        <v/>
      </c>
      <c r="CV18" s="1" t="str">
        <f t="shared" ca="1" si="20"/>
        <v/>
      </c>
      <c r="CW18" s="1"/>
      <c r="CX18" s="1">
        <f>IF($I18="",0,phi_i($CQ$7,$CF$7,$CG$7,AC18,$CW$7,CR18,$CT$7))</f>
        <v>0</v>
      </c>
      <c r="CY18" s="1">
        <f>IF($I18="",0,phi_i($CQ$10,$CH$7,$CI$7,AC18,$CW$10,CS18,$CT$10))</f>
        <v>0</v>
      </c>
      <c r="CZ18">
        <f t="shared" si="21"/>
        <v>0</v>
      </c>
      <c r="DA18">
        <f t="shared" si="22"/>
        <v>0</v>
      </c>
      <c r="DB18">
        <f t="shared" si="23"/>
        <v>0</v>
      </c>
      <c r="DC18" s="89"/>
      <c r="DD18" s="86" t="str">
        <f t="shared" si="24"/>
        <v/>
      </c>
      <c r="DF18" t="str">
        <f t="shared" ca="1" si="25"/>
        <v/>
      </c>
      <c r="DG18" t="str">
        <f t="shared" ca="1" si="26"/>
        <v/>
      </c>
      <c r="DT18" s="1" t="str">
        <f>IF($I18="","",psi_i(a_iVal,x_iter3,$G18,Kij_Val,BIPset,$AE$3,COUNTA(Chemicals)))</f>
        <v/>
      </c>
      <c r="DU18" s="1" t="str">
        <f>IF($I18="","",psi_i(a_iVal,y_iter3,$G18,Kij_Val,BIPset,$AE$3,COUNTA(Chemicals)))</f>
        <v/>
      </c>
      <c r="DV18" s="1"/>
      <c r="DW18" s="1" t="str">
        <f t="shared" ca="1" si="27"/>
        <v/>
      </c>
      <c r="DX18" s="1" t="str">
        <f t="shared" ca="1" si="28"/>
        <v/>
      </c>
      <c r="DY18" s="1"/>
      <c r="DZ18" s="1">
        <f>IF($I18="",0,phi_i($DS$7,$DH$7,$DI$7,AC18,$DY$7,DT18,$DV$7))</f>
        <v>0</v>
      </c>
      <c r="EA18" s="1">
        <f>IF($I18="",0,phi_i($DS$10,$DJ$7,$DK$7,AC18,$DY$10,DU18,$DV$10))</f>
        <v>0</v>
      </c>
      <c r="EB18">
        <f t="shared" si="29"/>
        <v>0</v>
      </c>
      <c r="EC18">
        <f t="shared" si="30"/>
        <v>0</v>
      </c>
      <c r="ED18">
        <f t="shared" si="31"/>
        <v>0</v>
      </c>
      <c r="EE18" s="89"/>
      <c r="EF18" s="86" t="str">
        <f t="shared" si="32"/>
        <v/>
      </c>
      <c r="EH18" t="str">
        <f t="shared" ca="1" si="33"/>
        <v/>
      </c>
      <c r="EI18" t="str">
        <f t="shared" ca="1" si="34"/>
        <v/>
      </c>
      <c r="EV18" s="1" t="str">
        <f>IF($I18="","",psi_i(a_iVal,x_iter4,$G18,Kij_Val,BIPset,$AE$3,COUNTA(Chemicals)))</f>
        <v/>
      </c>
      <c r="EW18" s="1" t="str">
        <f>IF($I18="","",psi_i(a_iVal,y_iter4,$G18,Kij_Val,BIPset,$AE$3,COUNTA(Chemicals)))</f>
        <v/>
      </c>
      <c r="EX18" s="1"/>
      <c r="EY18" s="1" t="str">
        <f t="shared" ca="1" si="35"/>
        <v/>
      </c>
      <c r="EZ18" s="1" t="str">
        <f t="shared" ca="1" si="36"/>
        <v/>
      </c>
      <c r="FA18" s="1"/>
      <c r="FB18" s="1">
        <f>IF($I18="",0,phi_i($EU$7,$EJ$7,$EK$7,AC18,$FA$7,EV18,$EX$7))</f>
        <v>0</v>
      </c>
      <c r="FC18" s="1">
        <f>IF($I18="",0,phi_i($EU$10,$EL$7,$EM$7,AC18,$FA$10,EW18,$EX$10))</f>
        <v>0</v>
      </c>
      <c r="FD18">
        <f t="shared" si="37"/>
        <v>0</v>
      </c>
      <c r="FE18">
        <f t="shared" si="38"/>
        <v>0</v>
      </c>
      <c r="FF18">
        <f t="shared" si="39"/>
        <v>0</v>
      </c>
      <c r="FG18" s="89"/>
      <c r="FH18" s="86" t="str">
        <f t="shared" si="40"/>
        <v/>
      </c>
      <c r="FJ18" t="str">
        <f t="shared" ca="1" si="41"/>
        <v/>
      </c>
      <c r="FK18" t="str">
        <f t="shared" ca="1" si="42"/>
        <v/>
      </c>
      <c r="FX18" s="1" t="str">
        <f>IF($I18="","",psi_i(a_iVal,x_iter5,$G18,Kij_Val,BIPset,$AE$3,COUNTA(Chemicals)))</f>
        <v/>
      </c>
      <c r="FY18" s="1" t="str">
        <f>IF($I18="","",psi_i(a_iVal,y_iter5,$G18,Kij_Val,BIPset,$AE$3,COUNTA(Chemicals)))</f>
        <v/>
      </c>
      <c r="FZ18" s="1"/>
      <c r="GA18" s="1" t="str">
        <f t="shared" ca="1" si="43"/>
        <v/>
      </c>
      <c r="GB18" s="1" t="str">
        <f t="shared" ca="1" si="44"/>
        <v/>
      </c>
      <c r="GC18" s="1"/>
      <c r="GD18" s="1">
        <f>IF($I18="",0,phi_i($FW$7,$FL$7,$FM$7,AC18,$GC$7,FX18,$FZ$7))</f>
        <v>0</v>
      </c>
      <c r="GE18" s="1">
        <f>IF($I18="",0,phi_i($FW$10,$FN$7,$FO$7,AC18,$GC$10,FY18,$FZ$10))</f>
        <v>0</v>
      </c>
      <c r="GF18">
        <f t="shared" si="45"/>
        <v>0</v>
      </c>
      <c r="GG18">
        <f t="shared" si="46"/>
        <v>0</v>
      </c>
      <c r="GH18">
        <f t="shared" si="47"/>
        <v>0</v>
      </c>
      <c r="GI18" s="89"/>
      <c r="GJ18" s="86" t="str">
        <f t="shared" si="48"/>
        <v/>
      </c>
      <c r="GL18" t="str">
        <f t="shared" ca="1" si="49"/>
        <v/>
      </c>
      <c r="GM18" t="str">
        <f t="shared" ca="1" si="50"/>
        <v/>
      </c>
      <c r="GZ18" s="1" t="str">
        <f>IF($I18="","",psi_i(a_iVal,x_iter6,$G18,Kij_Val,BIPset,$AE$3,COUNTA(Chemicals)))</f>
        <v/>
      </c>
      <c r="HA18" s="1" t="str">
        <f>IF($I18="","",psi_i(a_iVal,y_iter6,$G18,Kij_Val,BIPset,$AE$3,COUNTA(Chemicals)))</f>
        <v/>
      </c>
      <c r="HB18" s="1"/>
      <c r="HC18" s="1" t="str">
        <f t="shared" ca="1" si="51"/>
        <v/>
      </c>
      <c r="HD18" s="1" t="str">
        <f t="shared" ca="1" si="52"/>
        <v/>
      </c>
      <c r="HE18" s="1"/>
      <c r="HF18" s="1">
        <f>IF($I18="",0,phi_i($GY$7,$GN$7,$GO$7,AC18,$HE$7,GZ18,$HB$7))</f>
        <v>0</v>
      </c>
      <c r="HG18" s="1">
        <f>IF($I18="",0,phi_i($GY$10,$GP$7,$GQ$7,AC18,$HE$10,HA18,$HB$10))</f>
        <v>0</v>
      </c>
      <c r="HH18">
        <f t="shared" si="53"/>
        <v>0</v>
      </c>
      <c r="HI18">
        <f t="shared" si="54"/>
        <v>0</v>
      </c>
      <c r="HJ18">
        <f t="shared" si="55"/>
        <v>0</v>
      </c>
      <c r="HK18" s="89"/>
      <c r="HL18" s="86" t="str">
        <f t="shared" si="56"/>
        <v/>
      </c>
      <c r="HN18" t="str">
        <f t="shared" ca="1" si="57"/>
        <v/>
      </c>
      <c r="HO18" t="str">
        <f t="shared" ca="1" si="58"/>
        <v/>
      </c>
      <c r="IB18" s="1" t="str">
        <f>IF($I18="","",psi_i(a_iVal,x_iter7,$G18,Kij_Val,BIPset,$AE$3,COUNTA(Chemicals)))</f>
        <v/>
      </c>
      <c r="IC18" s="1" t="str">
        <f>IF($I18="","",psi_i(a_iVal,y_iter7,$G18,Kij_Val,BIPset,$AE$3,COUNTA(Chemicals)))</f>
        <v/>
      </c>
      <c r="ID18" s="1"/>
      <c r="IE18" s="1" t="str">
        <f t="shared" ca="1" si="59"/>
        <v/>
      </c>
      <c r="IF18" s="1" t="str">
        <f t="shared" ca="1" si="60"/>
        <v/>
      </c>
      <c r="IG18" s="1"/>
      <c r="IH18" s="1">
        <f>IF($I18="",0,phi_i($IA$7,$HP$7,$HQ$7,AC18,$IG$7,IB18,$ID$7))</f>
        <v>0</v>
      </c>
      <c r="II18" s="1">
        <f>IF($I18="",0,phi_i($IA$10,$HR$7,$HS$7,AC18,$IG$10,IC18,$ID$10))</f>
        <v>0</v>
      </c>
      <c r="IJ18">
        <f t="shared" si="61"/>
        <v>0</v>
      </c>
      <c r="IK18">
        <f t="shared" si="62"/>
        <v>0</v>
      </c>
      <c r="IL18">
        <f t="shared" si="63"/>
        <v>0</v>
      </c>
      <c r="IM18" s="89"/>
      <c r="IN18" s="86" t="str">
        <f t="shared" si="64"/>
        <v/>
      </c>
      <c r="IP18" t="str">
        <f t="shared" ca="1" si="65"/>
        <v/>
      </c>
      <c r="IQ18" t="str">
        <f t="shared" ca="1" si="66"/>
        <v/>
      </c>
      <c r="JD18" s="1" t="str">
        <f>IF($I18="","",psi_i(a_iVal,x_iter8,$G18,Kij_Val,BIPset,$AE$3,COUNTA(Chemicals)))</f>
        <v/>
      </c>
      <c r="JE18" s="1" t="str">
        <f>IF($I18="","",psi_i(a_iVal,y_iter8,$G18,Kij_Val,BIPset,$AE$3,COUNTA(Chemicals)))</f>
        <v/>
      </c>
      <c r="JF18" s="1"/>
      <c r="JG18" s="1" t="str">
        <f t="shared" ca="1" si="67"/>
        <v/>
      </c>
      <c r="JH18" s="1" t="str">
        <f t="shared" ca="1" si="68"/>
        <v/>
      </c>
      <c r="JI18" s="1"/>
      <c r="JJ18" s="1">
        <f>IF($I18="",0,phi_i($JC$7,$IR$7,$IS$7,AC18,$JI$7,JD18,$JF$7))</f>
        <v>0</v>
      </c>
      <c r="JK18" s="1">
        <f>IF($I18="",0,phi_i($JC$10,$IT$7,$IU$7,AC18,$JI$10,JE18,$JF$10))</f>
        <v>0</v>
      </c>
      <c r="JL18">
        <f t="shared" si="69"/>
        <v>0</v>
      </c>
      <c r="JM18">
        <f t="shared" si="70"/>
        <v>0</v>
      </c>
      <c r="JN18">
        <f t="shared" si="71"/>
        <v>0</v>
      </c>
      <c r="JO18" s="89"/>
    </row>
    <row r="19" spans="1:275">
      <c r="A19" s="1" t="str">
        <f t="shared" si="73"/>
        <v>y_Nitrogen (NC)</v>
      </c>
      <c r="B19" s="101" t="str">
        <f t="shared" ca="1" si="74"/>
        <v/>
      </c>
      <c r="C19" s="112" t="s">
        <v>185</v>
      </c>
      <c r="D19" s="97" t="str">
        <f t="shared" si="75"/>
        <v>x_Nitrogen (NC)</v>
      </c>
      <c r="E19" s="102" t="str">
        <f t="shared" ca="1" si="76"/>
        <v/>
      </c>
      <c r="F19" s="109" t="s">
        <v>185</v>
      </c>
      <c r="H19" s="6" t="str">
        <f>IF(Wilson!B19="","",Wilson!B19)</f>
        <v/>
      </c>
      <c r="I19" s="3" t="str">
        <f>IF(Wilson!C19="","",Wilson!C19)</f>
        <v/>
      </c>
      <c r="J19" s="13"/>
      <c r="K19" s="13"/>
      <c r="L19" s="13"/>
      <c r="M19" s="13"/>
      <c r="N19" s="13"/>
      <c r="O19" s="13"/>
      <c r="P19" s="13"/>
      <c r="Q19" s="13"/>
      <c r="R19" s="13"/>
      <c r="S19" s="13"/>
      <c r="T19" s="13"/>
      <c r="U19" s="13"/>
      <c r="V19" s="13"/>
      <c r="W19" s="13"/>
      <c r="X19" s="1" t="str">
        <f>IF(Wilson!M19="","",Wilson!M19)</f>
        <v/>
      </c>
      <c r="Y19" s="13"/>
      <c r="Z19" s="13"/>
      <c r="AA19" s="13"/>
      <c r="AB19" s="13"/>
      <c r="AC19" s="13"/>
      <c r="AD19" s="74"/>
      <c r="AE19" s="75"/>
      <c r="AF19" s="75"/>
      <c r="AG19" s="75"/>
      <c r="AP19" s="1" t="str">
        <f>IF(I19="","",psi_i(a_iVal,x_iVal,G19,Kij_Val,BIPset,$AE$3,COUNTA(Chemicals)))</f>
        <v/>
      </c>
      <c r="AQ19" s="1" t="str">
        <f>IF(I19="","",psi_i(a_iVal,y_iVal, G19,Kij_Val,BIPset,$AE$3,COUNTA(Chemicals)))</f>
        <v/>
      </c>
      <c r="AR19" s="1"/>
      <c r="AS19" s="1" t="str">
        <f t="shared" si="6"/>
        <v/>
      </c>
      <c r="AT19" s="1">
        <f t="shared" si="7"/>
        <v>0</v>
      </c>
      <c r="AU19" s="1"/>
      <c r="AV19" s="1"/>
      <c r="AW19" s="1"/>
      <c r="AX19" s="1"/>
      <c r="BP19" s="1" t="str">
        <f>IF(I19="","",psi_i(a_iVal,x_iter1,G19,Kij_Val,BIPset,$AE$3,COUNTA(Chemicals)))</f>
        <v/>
      </c>
      <c r="BQ19" s="1" t="str">
        <f>IF(I19="","",psi_i(a_iVal,y_iter1,G19,Kij_Val,BIPset,$AE$3,COUNTA(Chemicals)))</f>
        <v/>
      </c>
      <c r="BR19" s="1"/>
      <c r="BS19" s="1">
        <f t="shared" si="11"/>
        <v>0</v>
      </c>
      <c r="BT19" s="1">
        <f t="shared" si="12"/>
        <v>0</v>
      </c>
      <c r="BU19" s="1"/>
      <c r="BV19" s="1">
        <f>IF(I19="",0,phi_i($BO$7,$BD$7,$BE$7,AC19,$BU$7,BP19,$BR$7))</f>
        <v>0</v>
      </c>
      <c r="BW19" s="1">
        <f>IF(I19="",0,phi_i($BO$10,$BF$7,$BG$7,AC19,$BU$10,BQ19,$BR$10))</f>
        <v>0</v>
      </c>
      <c r="BX19">
        <f t="shared" si="13"/>
        <v>0</v>
      </c>
      <c r="BY19">
        <f t="shared" si="14"/>
        <v>0</v>
      </c>
      <c r="BZ19">
        <f t="shared" si="15"/>
        <v>0</v>
      </c>
      <c r="CA19" s="89"/>
      <c r="CB19" s="86" t="str">
        <f t="shared" si="16"/>
        <v/>
      </c>
      <c r="CD19" t="str">
        <f t="shared" ca="1" si="17"/>
        <v/>
      </c>
      <c r="CE19" t="str">
        <f t="shared" ca="1" si="18"/>
        <v/>
      </c>
      <c r="CR19" s="1" t="str">
        <f>IF($I19="","",psi_i(a_iVal,x_iter2,$G19,Kij_Val,BIPset,$AE$3,COUNTA(Chemicals)))</f>
        <v/>
      </c>
      <c r="CS19" s="1" t="str">
        <f>IF($I19="","",psi_i(a_iVal,y_iter2,$G19,Kij_Val,BIPset,$AE$3,COUNTA(Chemicals)))</f>
        <v/>
      </c>
      <c r="CT19" s="1"/>
      <c r="CU19" s="1" t="str">
        <f t="shared" ca="1" si="19"/>
        <v/>
      </c>
      <c r="CV19" s="1" t="str">
        <f t="shared" ca="1" si="20"/>
        <v/>
      </c>
      <c r="CW19" s="1"/>
      <c r="CX19" s="1">
        <f>IF($I19="",0,phi_i($CQ$7,$CF$7,$CG$7,AC19,$CW$7,CR19,$CT$7))</f>
        <v>0</v>
      </c>
      <c r="CY19" s="1">
        <f>IF($I19="",0,phi_i($CQ$10,$CH$7,$CI$7,AC19,$CW$10,CS19,$CT$10))</f>
        <v>0</v>
      </c>
      <c r="CZ19">
        <f t="shared" si="21"/>
        <v>0</v>
      </c>
      <c r="DA19">
        <f t="shared" si="22"/>
        <v>0</v>
      </c>
      <c r="DB19">
        <f t="shared" si="23"/>
        <v>0</v>
      </c>
      <c r="DC19" s="89"/>
      <c r="DD19" s="86" t="str">
        <f t="shared" si="24"/>
        <v/>
      </c>
      <c r="DF19" t="str">
        <f t="shared" ca="1" si="25"/>
        <v/>
      </c>
      <c r="DG19" t="str">
        <f t="shared" ca="1" si="26"/>
        <v/>
      </c>
      <c r="DT19" s="1" t="str">
        <f>IF($I19="","",psi_i(a_iVal,x_iter3,$G19,Kij_Val,BIPset,$AE$3,COUNTA(Chemicals)))</f>
        <v/>
      </c>
      <c r="DU19" s="1" t="str">
        <f>IF($I19="","",psi_i(a_iVal,y_iter3,$G19,Kij_Val,BIPset,$AE$3,COUNTA(Chemicals)))</f>
        <v/>
      </c>
      <c r="DV19" s="1"/>
      <c r="DW19" s="1" t="str">
        <f t="shared" ca="1" si="27"/>
        <v/>
      </c>
      <c r="DX19" s="1" t="str">
        <f t="shared" ca="1" si="28"/>
        <v/>
      </c>
      <c r="DY19" s="1"/>
      <c r="DZ19" s="1">
        <f>IF($I19="",0,phi_i($DS$7,$DH$7,$DI$7,AC19,$DY$7,DT19,$DV$7))</f>
        <v>0</v>
      </c>
      <c r="EA19" s="1">
        <f>IF($I19="",0,phi_i($DS$10,$DJ$7,$DK$7,AC19,$DY$10,DU19,$DV$10))</f>
        <v>0</v>
      </c>
      <c r="EB19">
        <f t="shared" si="29"/>
        <v>0</v>
      </c>
      <c r="EC19">
        <f t="shared" si="30"/>
        <v>0</v>
      </c>
      <c r="ED19">
        <f t="shared" si="31"/>
        <v>0</v>
      </c>
      <c r="EE19" s="89"/>
      <c r="EF19" s="86" t="str">
        <f t="shared" si="32"/>
        <v/>
      </c>
      <c r="EH19" t="str">
        <f t="shared" ca="1" si="33"/>
        <v/>
      </c>
      <c r="EI19" t="str">
        <f t="shared" ca="1" si="34"/>
        <v/>
      </c>
      <c r="EV19" s="1" t="str">
        <f>IF($I19="","",psi_i(a_iVal,x_iter4,$G19,Kij_Val,BIPset,$AE$3,COUNTA(Chemicals)))</f>
        <v/>
      </c>
      <c r="EW19" s="1" t="str">
        <f>IF($I19="","",psi_i(a_iVal,y_iter4,$G19,Kij_Val,BIPset,$AE$3,COUNTA(Chemicals)))</f>
        <v/>
      </c>
      <c r="EX19" s="1"/>
      <c r="EY19" s="1" t="str">
        <f t="shared" ca="1" si="35"/>
        <v/>
      </c>
      <c r="EZ19" s="1" t="str">
        <f t="shared" ca="1" si="36"/>
        <v/>
      </c>
      <c r="FA19" s="1"/>
      <c r="FB19" s="1">
        <f>IF($I19="",0,phi_i($EU$7,$EJ$7,$EK$7,AC19,$FA$7,EV19,$EX$7))</f>
        <v>0</v>
      </c>
      <c r="FC19" s="1">
        <f>IF($I19="",0,phi_i($EU$10,$EL$7,$EM$7,AC19,$FA$10,EW19,$EX$10))</f>
        <v>0</v>
      </c>
      <c r="FD19">
        <f t="shared" si="37"/>
        <v>0</v>
      </c>
      <c r="FE19">
        <f t="shared" si="38"/>
        <v>0</v>
      </c>
      <c r="FF19">
        <f t="shared" si="39"/>
        <v>0</v>
      </c>
      <c r="FG19" s="89"/>
      <c r="FH19" s="86" t="str">
        <f t="shared" si="40"/>
        <v/>
      </c>
      <c r="FJ19" t="str">
        <f t="shared" ca="1" si="41"/>
        <v/>
      </c>
      <c r="FK19" t="str">
        <f t="shared" ca="1" si="42"/>
        <v/>
      </c>
      <c r="FX19" s="1" t="str">
        <f>IF($I19="","",psi_i(a_iVal,x_iter5,$G19,Kij_Val,BIPset,$AE$3,COUNTA(Chemicals)))</f>
        <v/>
      </c>
      <c r="FY19" s="1" t="str">
        <f>IF($I19="","",psi_i(a_iVal,y_iter5,$G19,Kij_Val,BIPset,$AE$3,COUNTA(Chemicals)))</f>
        <v/>
      </c>
      <c r="FZ19" s="1"/>
      <c r="GA19" s="1" t="str">
        <f t="shared" ca="1" si="43"/>
        <v/>
      </c>
      <c r="GB19" s="1" t="str">
        <f t="shared" ca="1" si="44"/>
        <v/>
      </c>
      <c r="GC19" s="1"/>
      <c r="GD19" s="1">
        <f>IF($I19="",0,phi_i($FW$7,$FL$7,$FM$7,AC19,$GC$7,FX19,$FZ$7))</f>
        <v>0</v>
      </c>
      <c r="GE19" s="1">
        <f>IF($I19="",0,phi_i($FW$10,$FN$7,$FO$7,AC19,$GC$10,FY19,$FZ$10))</f>
        <v>0</v>
      </c>
      <c r="GF19">
        <f t="shared" si="45"/>
        <v>0</v>
      </c>
      <c r="GG19">
        <f t="shared" si="46"/>
        <v>0</v>
      </c>
      <c r="GH19">
        <f t="shared" si="47"/>
        <v>0</v>
      </c>
      <c r="GI19" s="89"/>
      <c r="GJ19" s="86" t="str">
        <f t="shared" si="48"/>
        <v/>
      </c>
      <c r="GL19" t="str">
        <f t="shared" ca="1" si="49"/>
        <v/>
      </c>
      <c r="GM19" t="str">
        <f t="shared" ca="1" si="50"/>
        <v/>
      </c>
      <c r="GZ19" s="1" t="str">
        <f>IF($I19="","",psi_i(a_iVal,x_iter6,$G19,Kij_Val,BIPset,$AE$3,COUNTA(Chemicals)))</f>
        <v/>
      </c>
      <c r="HA19" s="1" t="str">
        <f>IF($I19="","",psi_i(a_iVal,y_iter6,$G19,Kij_Val,BIPset,$AE$3,COUNTA(Chemicals)))</f>
        <v/>
      </c>
      <c r="HB19" s="1"/>
      <c r="HC19" s="1" t="str">
        <f t="shared" ca="1" si="51"/>
        <v/>
      </c>
      <c r="HD19" s="1" t="str">
        <f t="shared" ca="1" si="52"/>
        <v/>
      </c>
      <c r="HE19" s="1"/>
      <c r="HF19" s="1">
        <f>IF($I19="",0,phi_i($GY$7,$GN$7,$GO$7,AC19,$HE$7,GZ19,$HB$7))</f>
        <v>0</v>
      </c>
      <c r="HG19" s="1">
        <f>IF($I19="",0,phi_i($GY$10,$GP$7,$GQ$7,AC19,$HE$10,HA19,$HB$10))</f>
        <v>0</v>
      </c>
      <c r="HH19">
        <f t="shared" si="53"/>
        <v>0</v>
      </c>
      <c r="HI19">
        <f t="shared" si="54"/>
        <v>0</v>
      </c>
      <c r="HJ19">
        <f t="shared" si="55"/>
        <v>0</v>
      </c>
      <c r="HK19" s="89"/>
      <c r="HL19" s="86" t="str">
        <f t="shared" si="56"/>
        <v/>
      </c>
      <c r="HN19" t="str">
        <f t="shared" ca="1" si="57"/>
        <v/>
      </c>
      <c r="HO19" t="str">
        <f t="shared" ca="1" si="58"/>
        <v/>
      </c>
      <c r="IB19" s="1" t="str">
        <f>IF($I19="","",psi_i(a_iVal,x_iter7,$G19,Kij_Val,BIPset,$AE$3,COUNTA(Chemicals)))</f>
        <v/>
      </c>
      <c r="IC19" s="1" t="str">
        <f>IF($I19="","",psi_i(a_iVal,y_iter7,$G19,Kij_Val,BIPset,$AE$3,COUNTA(Chemicals)))</f>
        <v/>
      </c>
      <c r="ID19" s="1"/>
      <c r="IE19" s="1" t="str">
        <f t="shared" ca="1" si="59"/>
        <v/>
      </c>
      <c r="IF19" s="1" t="str">
        <f t="shared" ca="1" si="60"/>
        <v/>
      </c>
      <c r="IG19" s="1"/>
      <c r="IH19" s="1">
        <f>IF($I19="",0,phi_i($IA$7,$HP$7,$HQ$7,AC19,$IG$7,IB19,$ID$7))</f>
        <v>0</v>
      </c>
      <c r="II19" s="1">
        <f>IF($I19="",0,phi_i($IA$10,$HR$7,$HS$7,AC19,$IG$10,IC19,$ID$10))</f>
        <v>0</v>
      </c>
      <c r="IJ19">
        <f t="shared" si="61"/>
        <v>0</v>
      </c>
      <c r="IK19">
        <f t="shared" si="62"/>
        <v>0</v>
      </c>
      <c r="IL19">
        <f t="shared" si="63"/>
        <v>0</v>
      </c>
      <c r="IM19" s="89"/>
      <c r="IN19" s="86" t="str">
        <f t="shared" si="64"/>
        <v/>
      </c>
      <c r="IP19" t="str">
        <f t="shared" ca="1" si="65"/>
        <v/>
      </c>
      <c r="IQ19" t="str">
        <f t="shared" ca="1" si="66"/>
        <v/>
      </c>
      <c r="JD19" s="1" t="str">
        <f>IF($I19="","",psi_i(a_iVal,x_iter8,$G19,Kij_Val,BIPset,$AE$3,COUNTA(Chemicals)))</f>
        <v/>
      </c>
      <c r="JE19" s="1" t="str">
        <f>IF($I19="","",psi_i(a_iVal,y_iter8,$G19,Kij_Val,BIPset,$AE$3,COUNTA(Chemicals)))</f>
        <v/>
      </c>
      <c r="JF19" s="1"/>
      <c r="JG19" s="1" t="str">
        <f t="shared" ca="1" si="67"/>
        <v/>
      </c>
      <c r="JH19" s="1" t="str">
        <f t="shared" ca="1" si="68"/>
        <v/>
      </c>
      <c r="JI19" s="1"/>
      <c r="JJ19" s="1">
        <f>IF($I19="",0,phi_i($JC$7,$IR$7,$IS$7,AC19,$JI$7,JD19,$JF$7))</f>
        <v>0</v>
      </c>
      <c r="JK19" s="1">
        <f>IF($I19="",0,phi_i($JC$10,$IT$7,$IU$7,AC19,$JI$10,JE19,$JF$10))</f>
        <v>0</v>
      </c>
      <c r="JL19">
        <f t="shared" si="69"/>
        <v>0</v>
      </c>
      <c r="JM19">
        <f t="shared" si="70"/>
        <v>0</v>
      </c>
      <c r="JN19">
        <f t="shared" si="71"/>
        <v>0</v>
      </c>
      <c r="JO19" s="89"/>
    </row>
    <row r="20" spans="1:275">
      <c r="A20" s="1" t="str">
        <f t="shared" si="73"/>
        <v>y_</v>
      </c>
      <c r="B20" s="101"/>
      <c r="C20" s="112" t="s">
        <v>185</v>
      </c>
      <c r="D20" s="97" t="str">
        <f t="shared" si="75"/>
        <v>x_</v>
      </c>
      <c r="E20" s="102"/>
      <c r="F20" s="109" t="s">
        <v>185</v>
      </c>
      <c r="H20" s="6" t="str">
        <f>IF(Wilson!B20="","",Wilson!B20)</f>
        <v/>
      </c>
      <c r="I20" s="3" t="str">
        <f>IF(Wilson!C20="","",Wilson!C20)</f>
        <v/>
      </c>
      <c r="J20" s="13"/>
      <c r="K20" s="13"/>
      <c r="L20" s="13"/>
      <c r="M20" s="13"/>
      <c r="N20" s="13"/>
      <c r="O20" s="13"/>
      <c r="P20" s="13"/>
      <c r="Q20" s="13"/>
      <c r="R20" s="13"/>
      <c r="S20" s="13"/>
      <c r="T20" s="13"/>
      <c r="U20" s="13"/>
      <c r="V20" s="13"/>
      <c r="W20" s="13"/>
      <c r="X20" s="1" t="str">
        <f>IF(Wilson!M20="","",Wilson!M20)</f>
        <v/>
      </c>
      <c r="Y20" s="13"/>
      <c r="Z20" s="13"/>
      <c r="AA20" s="13"/>
      <c r="AB20" s="13"/>
      <c r="AC20" s="13"/>
      <c r="AD20" s="74"/>
      <c r="AE20" s="75"/>
      <c r="AF20" s="75"/>
      <c r="AG20" s="75"/>
      <c r="AP20" s="1" t="str">
        <f>IF(I20="","",psi_i(a_iVal,x_iVal,G20,Kij_Val,BIPset,$AE$3,COUNTA(Chemicals)))</f>
        <v/>
      </c>
      <c r="AQ20" s="1" t="str">
        <f>IF(I20="","",psi_i(a_iVal,y_iVal, G20,Kij_Val,BIPset,$AE$3,COUNTA(Chemicals)))</f>
        <v/>
      </c>
      <c r="AR20" s="1"/>
      <c r="AS20" s="1" t="str">
        <f t="shared" si="6"/>
        <v/>
      </c>
      <c r="AT20" s="1">
        <f t="shared" si="7"/>
        <v>0</v>
      </c>
      <c r="AU20" s="1"/>
      <c r="AV20" s="1"/>
      <c r="AW20" s="1"/>
      <c r="AX20" s="1"/>
      <c r="BP20" s="1" t="str">
        <f>IF(I20="","",psi_i(a_iVal,x_iter1,G20,Kij_Val,BIPset,$AE$3,COUNTA(Chemicals)))</f>
        <v/>
      </c>
      <c r="BQ20" s="1" t="str">
        <f>IF(I20="","",psi_i(a_iVal,y_iter1,G20,Kij_Val,BIPset,$AE$3,COUNTA(Chemicals)))</f>
        <v/>
      </c>
      <c r="BR20" s="1"/>
      <c r="BS20" s="1">
        <f t="shared" si="11"/>
        <v>0</v>
      </c>
      <c r="BT20" s="1">
        <f t="shared" si="12"/>
        <v>0</v>
      </c>
      <c r="BU20" s="1"/>
      <c r="BV20" s="1">
        <f>IF(I20="",0,phi_i($BO$7,$BD$7,$BE$7,AC20,$BU$7,BP20,$BR$7))</f>
        <v>0</v>
      </c>
      <c r="BW20" s="1">
        <f>IF(I20="",0,phi_i($BO$10,$BF$7,$BG$7,AC20,$BU$10,BQ20,$BR$10))</f>
        <v>0</v>
      </c>
      <c r="BX20">
        <f t="shared" si="13"/>
        <v>0</v>
      </c>
      <c r="BY20">
        <f t="shared" si="14"/>
        <v>0</v>
      </c>
      <c r="BZ20">
        <f t="shared" si="15"/>
        <v>0</v>
      </c>
      <c r="CA20" s="89"/>
      <c r="CB20" s="86" t="str">
        <f t="shared" si="16"/>
        <v/>
      </c>
      <c r="CD20" t="str">
        <f t="shared" ca="1" si="17"/>
        <v/>
      </c>
      <c r="CE20" t="str">
        <f t="shared" ca="1" si="18"/>
        <v/>
      </c>
      <c r="CR20" s="1" t="str">
        <f>IF($I20="","",psi_i(a_iVal,x_iter2,$G20,Kij_Val,BIPset,$AE$3,COUNTA(Chemicals)))</f>
        <v/>
      </c>
      <c r="CS20" s="1" t="str">
        <f>IF($I20="","",psi_i(a_iVal,y_iter2,$G20,Kij_Val,BIPset,$AE$3,COUNTA(Chemicals)))</f>
        <v/>
      </c>
      <c r="CT20" s="1"/>
      <c r="CU20" s="1" t="str">
        <f t="shared" ca="1" si="19"/>
        <v/>
      </c>
      <c r="CV20" s="1" t="str">
        <f t="shared" ca="1" si="20"/>
        <v/>
      </c>
      <c r="CW20" s="1"/>
      <c r="CX20" s="1">
        <f>IF($I20="",0,phi_i($CQ$7,$CF$7,$CG$7,AC20,$CW$7,CR20,$CT$7))</f>
        <v>0</v>
      </c>
      <c r="CY20" s="1">
        <f>IF($I20="",0,phi_i($CQ$10,$CH$7,$CI$7,AC20,$CW$10,CS20,$CT$10))</f>
        <v>0</v>
      </c>
      <c r="CZ20">
        <f t="shared" si="21"/>
        <v>0</v>
      </c>
      <c r="DA20">
        <f t="shared" si="22"/>
        <v>0</v>
      </c>
      <c r="DB20">
        <f t="shared" si="23"/>
        <v>0</v>
      </c>
      <c r="DC20" s="89"/>
      <c r="DD20" s="86" t="str">
        <f t="shared" si="24"/>
        <v/>
      </c>
      <c r="DF20" t="str">
        <f t="shared" ca="1" si="25"/>
        <v/>
      </c>
      <c r="DG20" t="str">
        <f t="shared" ca="1" si="26"/>
        <v/>
      </c>
      <c r="DT20" s="1" t="str">
        <f>IF($I20="","",psi_i(a_iVal,x_iter3,$G20,Kij_Val,BIPset,$AE$3,COUNTA(Chemicals)))</f>
        <v/>
      </c>
      <c r="DU20" s="1" t="str">
        <f>IF($I20="","",psi_i(a_iVal,y_iter3,$G20,Kij_Val,BIPset,$AE$3,COUNTA(Chemicals)))</f>
        <v/>
      </c>
      <c r="DV20" s="1"/>
      <c r="DW20" s="1" t="str">
        <f t="shared" ca="1" si="27"/>
        <v/>
      </c>
      <c r="DX20" s="1" t="str">
        <f t="shared" ca="1" si="28"/>
        <v/>
      </c>
      <c r="DY20" s="1"/>
      <c r="DZ20" s="1">
        <f>IF($I20="",0,phi_i($DS$7,$DH$7,$DI$7,AC20,$DY$7,DT20,$DV$7))</f>
        <v>0</v>
      </c>
      <c r="EA20" s="1">
        <f>IF($I20="",0,phi_i($DS$10,$DJ$7,$DK$7,AC20,$DY$10,DU20,$DV$10))</f>
        <v>0</v>
      </c>
      <c r="EB20">
        <f t="shared" si="29"/>
        <v>0</v>
      </c>
      <c r="EC20">
        <f t="shared" si="30"/>
        <v>0</v>
      </c>
      <c r="ED20">
        <f t="shared" si="31"/>
        <v>0</v>
      </c>
      <c r="EE20" s="89"/>
      <c r="EF20" s="86" t="str">
        <f t="shared" si="32"/>
        <v/>
      </c>
      <c r="EH20" t="str">
        <f t="shared" ca="1" si="33"/>
        <v/>
      </c>
      <c r="EI20" t="str">
        <f t="shared" ca="1" si="34"/>
        <v/>
      </c>
      <c r="EV20" s="1" t="str">
        <f>IF($I20="","",psi_i(a_iVal,x_iter4,$G20,Kij_Val,BIPset,$AE$3,COUNTA(Chemicals)))</f>
        <v/>
      </c>
      <c r="EW20" s="1" t="str">
        <f>IF($I20="","",psi_i(a_iVal,y_iter4,$G20,Kij_Val,BIPset,$AE$3,COUNTA(Chemicals)))</f>
        <v/>
      </c>
      <c r="EX20" s="1"/>
      <c r="EY20" s="1" t="str">
        <f t="shared" ca="1" si="35"/>
        <v/>
      </c>
      <c r="EZ20" s="1" t="str">
        <f t="shared" ca="1" si="36"/>
        <v/>
      </c>
      <c r="FA20" s="1"/>
      <c r="FB20" s="1">
        <f>IF($I20="",0,phi_i($EU$7,$EJ$7,$EK$7,AC20,$FA$7,EV20,$EX$7))</f>
        <v>0</v>
      </c>
      <c r="FC20" s="1">
        <f>IF($I20="",0,phi_i($EU$10,$EL$7,$EM$7,AC20,$FA$10,EW20,$EX$10))</f>
        <v>0</v>
      </c>
      <c r="FD20">
        <f t="shared" si="37"/>
        <v>0</v>
      </c>
      <c r="FE20">
        <f t="shared" si="38"/>
        <v>0</v>
      </c>
      <c r="FF20">
        <f t="shared" si="39"/>
        <v>0</v>
      </c>
      <c r="FG20" s="89"/>
      <c r="FH20" s="86" t="str">
        <f t="shared" si="40"/>
        <v/>
      </c>
      <c r="FJ20" t="str">
        <f t="shared" ca="1" si="41"/>
        <v/>
      </c>
      <c r="FK20" t="str">
        <f t="shared" ca="1" si="42"/>
        <v/>
      </c>
      <c r="FX20" s="1" t="str">
        <f>IF($I20="","",psi_i(a_iVal,x_iter5,$G20,Kij_Val,BIPset,$AE$3,COUNTA(Chemicals)))</f>
        <v/>
      </c>
      <c r="FY20" s="1" t="str">
        <f>IF($I20="","",psi_i(a_iVal,y_iter5,$G20,Kij_Val,BIPset,$AE$3,COUNTA(Chemicals)))</f>
        <v/>
      </c>
      <c r="FZ20" s="1"/>
      <c r="GA20" s="1" t="str">
        <f t="shared" ca="1" si="43"/>
        <v/>
      </c>
      <c r="GB20" s="1" t="str">
        <f t="shared" ca="1" si="44"/>
        <v/>
      </c>
      <c r="GC20" s="1"/>
      <c r="GD20" s="1">
        <f>IF($I20="",0,phi_i($FW$7,$FL$7,$FM$7,AC20,$GC$7,FX20,$FZ$7))</f>
        <v>0</v>
      </c>
      <c r="GE20" s="1">
        <f>IF($I20="",0,phi_i($FW$10,$FN$7,$FO$7,AC20,$GC$10,FY20,$FZ$10))</f>
        <v>0</v>
      </c>
      <c r="GF20">
        <f t="shared" si="45"/>
        <v>0</v>
      </c>
      <c r="GG20">
        <f t="shared" si="46"/>
        <v>0</v>
      </c>
      <c r="GH20">
        <f t="shared" si="47"/>
        <v>0</v>
      </c>
      <c r="GI20" s="89"/>
      <c r="GJ20" s="86" t="str">
        <f t="shared" si="48"/>
        <v/>
      </c>
      <c r="GL20" t="str">
        <f t="shared" ca="1" si="49"/>
        <v/>
      </c>
      <c r="GM20" t="str">
        <f t="shared" ca="1" si="50"/>
        <v/>
      </c>
      <c r="GZ20" s="1" t="str">
        <f>IF($I20="","",psi_i(a_iVal,x_iter6,$G20,Kij_Val,BIPset,$AE$3,COUNTA(Chemicals)))</f>
        <v/>
      </c>
      <c r="HA20" s="1" t="str">
        <f>IF($I20="","",psi_i(a_iVal,y_iter6,$G20,Kij_Val,BIPset,$AE$3,COUNTA(Chemicals)))</f>
        <v/>
      </c>
      <c r="HB20" s="1"/>
      <c r="HC20" s="1" t="str">
        <f t="shared" ca="1" si="51"/>
        <v/>
      </c>
      <c r="HD20" s="1" t="str">
        <f t="shared" ca="1" si="52"/>
        <v/>
      </c>
      <c r="HE20" s="1"/>
      <c r="HF20" s="1">
        <f>IF($I20="",0,phi_i($GY$7,$GN$7,$GO$7,AC20,$HE$7,GZ20,$HB$7))</f>
        <v>0</v>
      </c>
      <c r="HG20" s="1">
        <f>IF($I20="",0,phi_i($GY$10,$GP$7,$GQ$7,AC20,$HE$10,HA20,$HB$10))</f>
        <v>0</v>
      </c>
      <c r="HH20">
        <f t="shared" si="53"/>
        <v>0</v>
      </c>
      <c r="HI20">
        <f t="shared" si="54"/>
        <v>0</v>
      </c>
      <c r="HJ20">
        <f t="shared" si="55"/>
        <v>0</v>
      </c>
      <c r="HK20" s="89"/>
      <c r="HL20" s="86" t="str">
        <f t="shared" si="56"/>
        <v/>
      </c>
      <c r="HN20" t="str">
        <f t="shared" ca="1" si="57"/>
        <v/>
      </c>
      <c r="HO20" t="str">
        <f t="shared" ca="1" si="58"/>
        <v/>
      </c>
      <c r="IB20" s="1" t="str">
        <f>IF($I20="","",psi_i(a_iVal,x_iter7,$G20,Kij_Val,BIPset,$AE$3,COUNTA(Chemicals)))</f>
        <v/>
      </c>
      <c r="IC20" s="1" t="str">
        <f>IF($I20="","",psi_i(a_iVal,y_iter7,$G20,Kij_Val,BIPset,$AE$3,COUNTA(Chemicals)))</f>
        <v/>
      </c>
      <c r="ID20" s="1"/>
      <c r="IE20" s="1" t="str">
        <f t="shared" ca="1" si="59"/>
        <v/>
      </c>
      <c r="IF20" s="1" t="str">
        <f t="shared" ca="1" si="60"/>
        <v/>
      </c>
      <c r="IG20" s="1"/>
      <c r="IH20" s="1">
        <f>IF($I20="",0,phi_i($IA$7,$HP$7,$HQ$7,AC20,$IG$7,IB20,$ID$7))</f>
        <v>0</v>
      </c>
      <c r="II20" s="1">
        <f>IF($I20="",0,phi_i($IA$10,$HR$7,$HS$7,AC20,$IG$10,IC20,$ID$10))</f>
        <v>0</v>
      </c>
      <c r="IJ20">
        <f t="shared" si="61"/>
        <v>0</v>
      </c>
      <c r="IK20">
        <f t="shared" si="62"/>
        <v>0</v>
      </c>
      <c r="IL20">
        <f t="shared" si="63"/>
        <v>0</v>
      </c>
      <c r="IM20" s="89"/>
      <c r="IN20" s="86" t="str">
        <f t="shared" si="64"/>
        <v/>
      </c>
      <c r="IP20" t="str">
        <f t="shared" ca="1" si="65"/>
        <v/>
      </c>
      <c r="IQ20" t="str">
        <f t="shared" ca="1" si="66"/>
        <v/>
      </c>
      <c r="JD20" s="1" t="str">
        <f>IF($I20="","",psi_i(a_iVal,x_iter8,$G20,Kij_Val,BIPset,$AE$3,COUNTA(Chemicals)))</f>
        <v/>
      </c>
      <c r="JE20" s="1" t="str">
        <f>IF($I20="","",psi_i(a_iVal,y_iter8,$G20,Kij_Val,BIPset,$AE$3,COUNTA(Chemicals)))</f>
        <v/>
      </c>
      <c r="JF20" s="1"/>
      <c r="JG20" s="1" t="str">
        <f t="shared" ca="1" si="67"/>
        <v/>
      </c>
      <c r="JH20" s="1" t="str">
        <f t="shared" ca="1" si="68"/>
        <v/>
      </c>
      <c r="JI20" s="1"/>
      <c r="JJ20" s="1">
        <f>IF($I20="",0,phi_i($JC$7,$IR$7,$IS$7,AC20,$JI$7,JD20,$JF$7))</f>
        <v>0</v>
      </c>
      <c r="JK20" s="1">
        <f>IF($I20="",0,phi_i($JC$10,$IT$7,$IU$7,AC20,$JI$10,JE20,$JF$10))</f>
        <v>0</v>
      </c>
      <c r="JL20">
        <f t="shared" si="69"/>
        <v>0</v>
      </c>
      <c r="JM20">
        <f t="shared" si="70"/>
        <v>0</v>
      </c>
      <c r="JN20">
        <f t="shared" si="71"/>
        <v>0</v>
      </c>
      <c r="JO20" s="89"/>
    </row>
    <row r="21" spans="1:275">
      <c r="A21" s="1" t="str">
        <f t="shared" si="73"/>
        <v>y_</v>
      </c>
      <c r="B21" s="101"/>
      <c r="C21" s="112" t="s">
        <v>185</v>
      </c>
      <c r="D21" s="97" t="str">
        <f t="shared" si="75"/>
        <v>x_</v>
      </c>
      <c r="E21" s="102"/>
      <c r="F21" s="109" t="s">
        <v>185</v>
      </c>
      <c r="H21" s="6" t="str">
        <f>IF(Wilson!B21="","",Wilson!B21)</f>
        <v/>
      </c>
      <c r="I21" s="3" t="str">
        <f>IF(Wilson!C21="","",Wilson!C21)</f>
        <v/>
      </c>
      <c r="J21" s="13"/>
      <c r="K21" s="13"/>
      <c r="L21" s="13"/>
      <c r="M21" s="13"/>
      <c r="N21" s="13"/>
      <c r="O21" s="13"/>
      <c r="P21" s="13"/>
      <c r="Q21" s="13"/>
      <c r="R21" s="13"/>
      <c r="S21" s="13"/>
      <c r="T21" s="13"/>
      <c r="U21" s="13"/>
      <c r="V21" s="13"/>
      <c r="W21" s="13"/>
      <c r="X21" s="1" t="str">
        <f>IF(Wilson!M21="","",Wilson!M21)</f>
        <v/>
      </c>
      <c r="Y21" s="13"/>
      <c r="Z21" s="13"/>
      <c r="AA21" s="13"/>
      <c r="AB21" s="13"/>
      <c r="AC21" s="13"/>
      <c r="AD21" s="74"/>
      <c r="AE21" s="75"/>
      <c r="AF21" s="75"/>
      <c r="AG21" s="75"/>
      <c r="AP21" s="1" t="str">
        <f>IF(I21="","",psi_i(a_iVal,x_iVal,G21,Kij_Val,BIPset,$AE$3,COUNTA(Chemicals)))</f>
        <v/>
      </c>
      <c r="AQ21" s="1" t="str">
        <f>IF(I21="","",psi_i(a_iVal,y_iVal, G21,Kij_Val,BIPset,$AE$3,COUNTA(Chemicals)))</f>
        <v/>
      </c>
      <c r="AR21" s="1"/>
      <c r="AS21" s="1" t="str">
        <f t="shared" si="6"/>
        <v/>
      </c>
      <c r="AT21" s="1">
        <f t="shared" si="7"/>
        <v>0</v>
      </c>
      <c r="AU21" s="1"/>
      <c r="AV21" s="1"/>
      <c r="AW21" s="1"/>
      <c r="AX21" s="1"/>
      <c r="BP21" s="1" t="str">
        <f>IF(I21="","",psi_i(a_iVal,x_iter1,G21,Kij_Val,BIPset,$AE$3,COUNTA(Chemicals)))</f>
        <v/>
      </c>
      <c r="BQ21" s="1" t="str">
        <f>IF(I21="","",psi_i(a_iVal,y_iter1,G21,Kij_Val,BIPset,$AE$3,COUNTA(Chemicals)))</f>
        <v/>
      </c>
      <c r="BR21" s="1"/>
      <c r="BS21" s="1">
        <f t="shared" si="11"/>
        <v>0</v>
      </c>
      <c r="BT21" s="1">
        <f t="shared" si="12"/>
        <v>0</v>
      </c>
      <c r="BU21" s="1"/>
      <c r="BV21" s="1">
        <f>IF(I21="",0,phi_i($BO$7,$BD$7,$BE$7,AC21,$BU$7,BP21,$BR$7))</f>
        <v>0</v>
      </c>
      <c r="BW21" s="1">
        <f>IF(I21="",0,phi_i($BO$10,$BF$7,$BG$7,AC21,$BU$10,BQ21,$BR$10))</f>
        <v>0</v>
      </c>
      <c r="BX21">
        <f t="shared" si="13"/>
        <v>0</v>
      </c>
      <c r="BY21">
        <f t="shared" si="14"/>
        <v>0</v>
      </c>
      <c r="BZ21">
        <f t="shared" si="15"/>
        <v>0</v>
      </c>
      <c r="CA21" s="89"/>
      <c r="CB21" s="86" t="str">
        <f t="shared" si="16"/>
        <v/>
      </c>
      <c r="CD21" t="str">
        <f t="shared" ca="1" si="17"/>
        <v/>
      </c>
      <c r="CE21" t="str">
        <f t="shared" ca="1" si="18"/>
        <v/>
      </c>
      <c r="CR21" s="1" t="str">
        <f>IF($I21="","",psi_i(a_iVal,x_iter2,$G21,Kij_Val,BIPset,$AE$3,COUNTA(Chemicals)))</f>
        <v/>
      </c>
      <c r="CS21" s="1" t="str">
        <f>IF($I21="","",psi_i(a_iVal,y_iter2,$G21,Kij_Val,BIPset,$AE$3,COUNTA(Chemicals)))</f>
        <v/>
      </c>
      <c r="CT21" s="1"/>
      <c r="CU21" s="1" t="str">
        <f t="shared" ca="1" si="19"/>
        <v/>
      </c>
      <c r="CV21" s="1" t="str">
        <f t="shared" ca="1" si="20"/>
        <v/>
      </c>
      <c r="CW21" s="1"/>
      <c r="CX21" s="1">
        <f>IF($I21="",0,phi_i($CQ$7,$CF$7,$CG$7,AC21,$CW$7,CR21,$CT$7))</f>
        <v>0</v>
      </c>
      <c r="CY21" s="1">
        <f>IF($I21="",0,phi_i($CQ$10,$CH$7,$CI$7,AC21,$CW$10,CS21,$CT$10))</f>
        <v>0</v>
      </c>
      <c r="CZ21">
        <f t="shared" si="21"/>
        <v>0</v>
      </c>
      <c r="DA21">
        <f t="shared" si="22"/>
        <v>0</v>
      </c>
      <c r="DB21">
        <f t="shared" si="23"/>
        <v>0</v>
      </c>
      <c r="DC21" s="89"/>
      <c r="DD21" s="86" t="str">
        <f t="shared" si="24"/>
        <v/>
      </c>
      <c r="DF21" t="str">
        <f t="shared" ca="1" si="25"/>
        <v/>
      </c>
      <c r="DG21" t="str">
        <f t="shared" ca="1" si="26"/>
        <v/>
      </c>
      <c r="DT21" s="1" t="str">
        <f>IF($I21="","",psi_i(a_iVal,x_iter3,$G21,Kij_Val,BIPset,$AE$3,COUNTA(Chemicals)))</f>
        <v/>
      </c>
      <c r="DU21" s="1" t="str">
        <f>IF($I21="","",psi_i(a_iVal,y_iter3,$G21,Kij_Val,BIPset,$AE$3,COUNTA(Chemicals)))</f>
        <v/>
      </c>
      <c r="DV21" s="1"/>
      <c r="DW21" s="1" t="str">
        <f t="shared" ca="1" si="27"/>
        <v/>
      </c>
      <c r="DX21" s="1" t="str">
        <f t="shared" ca="1" si="28"/>
        <v/>
      </c>
      <c r="DY21" s="1"/>
      <c r="DZ21" s="1">
        <f>IF($I21="",0,phi_i($DS$7,$DH$7,$DI$7,AC21,$DY$7,DT21,$DV$7))</f>
        <v>0</v>
      </c>
      <c r="EA21" s="1">
        <f>IF($I21="",0,phi_i($DS$10,$DJ$7,$DK$7,AC21,$DY$10,DU21,$DV$10))</f>
        <v>0</v>
      </c>
      <c r="EB21">
        <f t="shared" si="29"/>
        <v>0</v>
      </c>
      <c r="EC21">
        <f t="shared" si="30"/>
        <v>0</v>
      </c>
      <c r="ED21">
        <f t="shared" si="31"/>
        <v>0</v>
      </c>
      <c r="EE21" s="89"/>
      <c r="EF21" s="86" t="str">
        <f t="shared" si="32"/>
        <v/>
      </c>
      <c r="EH21" t="str">
        <f t="shared" ca="1" si="33"/>
        <v/>
      </c>
      <c r="EI21" t="str">
        <f t="shared" ca="1" si="34"/>
        <v/>
      </c>
      <c r="EV21" s="1" t="str">
        <f>IF($I21="","",psi_i(a_iVal,x_iter4,$G21,Kij_Val,BIPset,$AE$3,COUNTA(Chemicals)))</f>
        <v/>
      </c>
      <c r="EW21" s="1" t="str">
        <f>IF($I21="","",psi_i(a_iVal,y_iter4,$G21,Kij_Val,BIPset,$AE$3,COUNTA(Chemicals)))</f>
        <v/>
      </c>
      <c r="EX21" s="1"/>
      <c r="EY21" s="1" t="str">
        <f t="shared" ca="1" si="35"/>
        <v/>
      </c>
      <c r="EZ21" s="1" t="str">
        <f t="shared" ca="1" si="36"/>
        <v/>
      </c>
      <c r="FA21" s="1"/>
      <c r="FB21" s="1">
        <f>IF($I21="",0,phi_i($EU$7,$EJ$7,$EK$7,AC21,$FA$7,EV21,$EX$7))</f>
        <v>0</v>
      </c>
      <c r="FC21" s="1">
        <f>IF($I21="",0,phi_i($EU$10,$EL$7,$EM$7,AC21,$FA$10,EW21,$EX$10))</f>
        <v>0</v>
      </c>
      <c r="FD21">
        <f t="shared" si="37"/>
        <v>0</v>
      </c>
      <c r="FE21">
        <f t="shared" si="38"/>
        <v>0</v>
      </c>
      <c r="FF21">
        <f t="shared" si="39"/>
        <v>0</v>
      </c>
      <c r="FG21" s="89"/>
      <c r="FH21" s="86" t="str">
        <f t="shared" si="40"/>
        <v/>
      </c>
      <c r="FJ21" t="str">
        <f t="shared" ca="1" si="41"/>
        <v/>
      </c>
      <c r="FK21" t="str">
        <f t="shared" ca="1" si="42"/>
        <v/>
      </c>
      <c r="FX21" s="1" t="str">
        <f>IF($I21="","",psi_i(a_iVal,x_iter5,$G21,Kij_Val,BIPset,$AE$3,COUNTA(Chemicals)))</f>
        <v/>
      </c>
      <c r="FY21" s="1" t="str">
        <f>IF($I21="","",psi_i(a_iVal,y_iter5,$G21,Kij_Val,BIPset,$AE$3,COUNTA(Chemicals)))</f>
        <v/>
      </c>
      <c r="FZ21" s="1"/>
      <c r="GA21" s="1" t="str">
        <f t="shared" ca="1" si="43"/>
        <v/>
      </c>
      <c r="GB21" s="1" t="str">
        <f t="shared" ca="1" si="44"/>
        <v/>
      </c>
      <c r="GC21" s="1"/>
      <c r="GD21" s="1">
        <f>IF($I21="",0,phi_i($FW$7,$FL$7,$FM$7,AC21,$GC$7,FX21,$FZ$7))</f>
        <v>0</v>
      </c>
      <c r="GE21" s="1">
        <f>IF($I21="",0,phi_i($FW$10,$FN$7,$FO$7,AC21,$GC$10,FY21,$FZ$10))</f>
        <v>0</v>
      </c>
      <c r="GF21">
        <f t="shared" si="45"/>
        <v>0</v>
      </c>
      <c r="GG21">
        <f t="shared" si="46"/>
        <v>0</v>
      </c>
      <c r="GH21">
        <f t="shared" si="47"/>
        <v>0</v>
      </c>
      <c r="GI21" s="89"/>
      <c r="GJ21" s="86" t="str">
        <f t="shared" si="48"/>
        <v/>
      </c>
      <c r="GL21" t="str">
        <f t="shared" ca="1" si="49"/>
        <v/>
      </c>
      <c r="GM21" t="str">
        <f t="shared" ca="1" si="50"/>
        <v/>
      </c>
      <c r="GZ21" s="1" t="str">
        <f>IF($I21="","",psi_i(a_iVal,x_iter6,$G21,Kij_Val,BIPset,$AE$3,COUNTA(Chemicals)))</f>
        <v/>
      </c>
      <c r="HA21" s="1" t="str">
        <f>IF($I21="","",psi_i(a_iVal,y_iter6,$G21,Kij_Val,BIPset,$AE$3,COUNTA(Chemicals)))</f>
        <v/>
      </c>
      <c r="HB21" s="1"/>
      <c r="HC21" s="1" t="str">
        <f t="shared" ca="1" si="51"/>
        <v/>
      </c>
      <c r="HD21" s="1" t="str">
        <f t="shared" ca="1" si="52"/>
        <v/>
      </c>
      <c r="HE21" s="1"/>
      <c r="HF21" s="1">
        <f>IF($I21="",0,phi_i($GY$7,$GN$7,$GO$7,AC21,$HE$7,GZ21,$HB$7))</f>
        <v>0</v>
      </c>
      <c r="HG21" s="1">
        <f>IF($I21="",0,phi_i($GY$10,$GP$7,$GQ$7,AC21,$HE$10,HA21,$HB$10))</f>
        <v>0</v>
      </c>
      <c r="HH21">
        <f t="shared" si="53"/>
        <v>0</v>
      </c>
      <c r="HI21">
        <f t="shared" si="54"/>
        <v>0</v>
      </c>
      <c r="HJ21">
        <f t="shared" si="55"/>
        <v>0</v>
      </c>
      <c r="HK21" s="89"/>
      <c r="HL21" s="86" t="str">
        <f t="shared" si="56"/>
        <v/>
      </c>
      <c r="HN21" t="str">
        <f t="shared" ca="1" si="57"/>
        <v/>
      </c>
      <c r="HO21" t="str">
        <f t="shared" ca="1" si="58"/>
        <v/>
      </c>
      <c r="IB21" s="1" t="str">
        <f>IF($I21="","",psi_i(a_iVal,x_iter7,$G21,Kij_Val,BIPset,$AE$3,COUNTA(Chemicals)))</f>
        <v/>
      </c>
      <c r="IC21" s="1" t="str">
        <f>IF($I21="","",psi_i(a_iVal,y_iter7,$G21,Kij_Val,BIPset,$AE$3,COUNTA(Chemicals)))</f>
        <v/>
      </c>
      <c r="ID21" s="1"/>
      <c r="IE21" s="1" t="str">
        <f t="shared" ca="1" si="59"/>
        <v/>
      </c>
      <c r="IF21" s="1" t="str">
        <f t="shared" ca="1" si="60"/>
        <v/>
      </c>
      <c r="IG21" s="1"/>
      <c r="IH21" s="1">
        <f>IF($I21="",0,phi_i($IA$7,$HP$7,$HQ$7,AC21,$IG$7,IB21,$ID$7))</f>
        <v>0</v>
      </c>
      <c r="II21" s="1">
        <f>IF($I21="",0,phi_i($IA$10,$HR$7,$HS$7,AC21,$IG$10,IC21,$ID$10))</f>
        <v>0</v>
      </c>
      <c r="IJ21">
        <f t="shared" si="61"/>
        <v>0</v>
      </c>
      <c r="IK21">
        <f t="shared" si="62"/>
        <v>0</v>
      </c>
      <c r="IL21">
        <f t="shared" si="63"/>
        <v>0</v>
      </c>
      <c r="IM21" s="89"/>
      <c r="IN21" s="86" t="str">
        <f t="shared" si="64"/>
        <v/>
      </c>
      <c r="IP21" t="str">
        <f t="shared" ca="1" si="65"/>
        <v/>
      </c>
      <c r="IQ21" t="str">
        <f t="shared" ca="1" si="66"/>
        <v/>
      </c>
      <c r="JD21" s="1" t="str">
        <f>IF($I21="","",psi_i(a_iVal,x_iter8,$G21,Kij_Val,BIPset,$AE$3,COUNTA(Chemicals)))</f>
        <v/>
      </c>
      <c r="JE21" s="1" t="str">
        <f>IF($I21="","",psi_i(a_iVal,y_iter8,$G21,Kij_Val,BIPset,$AE$3,COUNTA(Chemicals)))</f>
        <v/>
      </c>
      <c r="JF21" s="1"/>
      <c r="JG21" s="1" t="str">
        <f t="shared" ca="1" si="67"/>
        <v/>
      </c>
      <c r="JH21" s="1" t="str">
        <f t="shared" ca="1" si="68"/>
        <v/>
      </c>
      <c r="JI21" s="1"/>
      <c r="JJ21" s="1">
        <f>IF($I21="",0,phi_i($JC$7,$IR$7,$IS$7,AC21,$JI$7,JD21,$JF$7))</f>
        <v>0</v>
      </c>
      <c r="JK21" s="1">
        <f>IF($I21="",0,phi_i($JC$10,$IT$7,$IU$7,AC21,$JI$10,JE21,$JF$10))</f>
        <v>0</v>
      </c>
      <c r="JL21">
        <f t="shared" si="69"/>
        <v>0</v>
      </c>
      <c r="JM21">
        <f t="shared" si="70"/>
        <v>0</v>
      </c>
      <c r="JN21">
        <f t="shared" si="71"/>
        <v>0</v>
      </c>
      <c r="JO21" s="89"/>
    </row>
    <row r="22" spans="1:275">
      <c r="A22" s="1" t="str">
        <f t="shared" si="73"/>
        <v>y_</v>
      </c>
      <c r="B22" s="101"/>
      <c r="C22" s="112" t="s">
        <v>185</v>
      </c>
      <c r="D22" s="97" t="str">
        <f t="shared" si="75"/>
        <v>x_</v>
      </c>
      <c r="E22" s="102"/>
      <c r="F22" s="109" t="s">
        <v>185</v>
      </c>
      <c r="H22" s="6" t="str">
        <f>IF(Wilson!B22="","",Wilson!B22)</f>
        <v/>
      </c>
      <c r="I22" s="3" t="str">
        <f>IF(Wilson!C22="","",Wilson!C22)</f>
        <v/>
      </c>
      <c r="J22" s="13"/>
      <c r="K22" s="13"/>
      <c r="L22" s="13"/>
      <c r="M22" s="13"/>
      <c r="N22" s="13"/>
      <c r="O22" s="13"/>
      <c r="P22" s="13"/>
      <c r="Q22" s="13"/>
      <c r="R22" s="13"/>
      <c r="S22" s="13"/>
      <c r="T22" s="13"/>
      <c r="U22" s="13"/>
      <c r="V22" s="13"/>
      <c r="W22" s="13"/>
      <c r="X22" s="1" t="str">
        <f>IF(Wilson!M22="","",Wilson!M22)</f>
        <v/>
      </c>
      <c r="Y22" s="13"/>
      <c r="Z22" s="13"/>
      <c r="AA22" s="13"/>
      <c r="AB22" s="13"/>
      <c r="AC22" s="13"/>
      <c r="AD22" s="74"/>
      <c r="AE22" s="75"/>
      <c r="AF22" s="75"/>
      <c r="AG22" s="75"/>
      <c r="AP22" s="1" t="str">
        <f>IF(I22="","",psi_i(a_iVal,x_iVal,G22,Kij_Val,BIPset,$AE$3,COUNTA(Chemicals)))</f>
        <v/>
      </c>
      <c r="AQ22" s="1" t="str">
        <f>IF(I22="","",psi_i(a_iVal,y_iVal, G22,Kij_Val,BIPset,$AE$3,COUNTA(Chemicals)))</f>
        <v/>
      </c>
      <c r="AR22" s="1"/>
      <c r="AS22" s="1" t="str">
        <f t="shared" si="6"/>
        <v/>
      </c>
      <c r="AT22" s="1">
        <f t="shared" si="7"/>
        <v>0</v>
      </c>
      <c r="AU22" s="1"/>
      <c r="AV22" s="1"/>
      <c r="AW22" s="1"/>
      <c r="AX22" s="1"/>
      <c r="BP22" s="1" t="str">
        <f>IF(I22="","",psi_i(a_iVal,x_iter1,G22,Kij_Val,BIPset,$AE$3,COUNTA(Chemicals)))</f>
        <v/>
      </c>
      <c r="BQ22" s="1" t="str">
        <f>IF(I22="","",psi_i(a_iVal,y_iter1,G22,Kij_Val,BIPset,$AE$3,COUNTA(Chemicals)))</f>
        <v/>
      </c>
      <c r="BR22" s="1"/>
      <c r="BS22" s="1">
        <f t="shared" si="11"/>
        <v>0</v>
      </c>
      <c r="BT22" s="1">
        <f t="shared" si="12"/>
        <v>0</v>
      </c>
      <c r="BU22" s="1"/>
      <c r="BV22" s="1">
        <f>IF(I22="",0,phi_i($BO$7,$BD$7,$BE$7,AC22,$BU$7,BP22,$BR$7))</f>
        <v>0</v>
      </c>
      <c r="BW22" s="1">
        <f>IF(I22="",0,phi_i($BO$10,$BF$7,$BG$7,AC22,$BU$10,BQ22,$BR$10))</f>
        <v>0</v>
      </c>
      <c r="BX22">
        <f t="shared" si="13"/>
        <v>0</v>
      </c>
      <c r="BY22">
        <f t="shared" si="14"/>
        <v>0</v>
      </c>
      <c r="BZ22">
        <f t="shared" si="15"/>
        <v>0</v>
      </c>
      <c r="CA22" s="89"/>
      <c r="CB22" s="86" t="str">
        <f t="shared" si="16"/>
        <v/>
      </c>
      <c r="CD22" t="str">
        <f t="shared" ca="1" si="17"/>
        <v/>
      </c>
      <c r="CE22" t="str">
        <f t="shared" ca="1" si="18"/>
        <v/>
      </c>
      <c r="CR22" s="1" t="str">
        <f>IF($I22="","",psi_i(a_iVal,x_iter2,$G22,Kij_Val,BIPset,$AE$3,COUNTA(Chemicals)))</f>
        <v/>
      </c>
      <c r="CS22" s="1" t="str">
        <f>IF($I22="","",psi_i(a_iVal,y_iter2,$G22,Kij_Val,BIPset,$AE$3,COUNTA(Chemicals)))</f>
        <v/>
      </c>
      <c r="CT22" s="1"/>
      <c r="CU22" s="1" t="str">
        <f t="shared" ca="1" si="19"/>
        <v/>
      </c>
      <c r="CV22" s="1" t="str">
        <f t="shared" ca="1" si="20"/>
        <v/>
      </c>
      <c r="CW22" s="1"/>
      <c r="CX22" s="1">
        <f>IF($I22="",0,phi_i($CQ$7,$CF$7,$CG$7,AC22,$CW$7,CR22,$CT$7))</f>
        <v>0</v>
      </c>
      <c r="CY22" s="1">
        <f>IF($I22="",0,phi_i($CQ$10,$CH$7,$CI$7,AC22,$CW$10,CS22,$CT$10))</f>
        <v>0</v>
      </c>
      <c r="CZ22">
        <f t="shared" si="21"/>
        <v>0</v>
      </c>
      <c r="DA22">
        <f t="shared" si="22"/>
        <v>0</v>
      </c>
      <c r="DB22">
        <f t="shared" si="23"/>
        <v>0</v>
      </c>
      <c r="DC22" s="89"/>
      <c r="DD22" s="86" t="str">
        <f t="shared" si="24"/>
        <v/>
      </c>
      <c r="DF22" t="str">
        <f t="shared" ca="1" si="25"/>
        <v/>
      </c>
      <c r="DG22" t="str">
        <f t="shared" ca="1" si="26"/>
        <v/>
      </c>
      <c r="DT22" s="1" t="str">
        <f>IF($I22="","",psi_i(a_iVal,x_iter3,$G22,Kij_Val,BIPset,$AE$3,COUNTA(Chemicals)))</f>
        <v/>
      </c>
      <c r="DU22" s="1" t="str">
        <f>IF($I22="","",psi_i(a_iVal,y_iter3,$G22,Kij_Val,BIPset,$AE$3,COUNTA(Chemicals)))</f>
        <v/>
      </c>
      <c r="DV22" s="1"/>
      <c r="DW22" s="1" t="str">
        <f t="shared" ca="1" si="27"/>
        <v/>
      </c>
      <c r="DX22" s="1" t="str">
        <f t="shared" ca="1" si="28"/>
        <v/>
      </c>
      <c r="DY22" s="1"/>
      <c r="DZ22" s="1">
        <f>IF($I22="",0,phi_i($DS$7,$DH$7,$DI$7,AC22,$DY$7,DT22,$DV$7))</f>
        <v>0</v>
      </c>
      <c r="EA22" s="1">
        <f>IF($I22="",0,phi_i($DS$10,$DJ$7,$DK$7,AC22,$DY$10,DU22,$DV$10))</f>
        <v>0</v>
      </c>
      <c r="EB22">
        <f t="shared" si="29"/>
        <v>0</v>
      </c>
      <c r="EC22">
        <f t="shared" si="30"/>
        <v>0</v>
      </c>
      <c r="ED22">
        <f t="shared" si="31"/>
        <v>0</v>
      </c>
      <c r="EE22" s="89"/>
      <c r="EF22" s="86" t="str">
        <f t="shared" si="32"/>
        <v/>
      </c>
      <c r="EH22" t="str">
        <f t="shared" ca="1" si="33"/>
        <v/>
      </c>
      <c r="EI22" t="str">
        <f t="shared" ca="1" si="34"/>
        <v/>
      </c>
      <c r="EV22" s="1" t="str">
        <f>IF($I22="","",psi_i(a_iVal,x_iter4,$G22,Kij_Val,BIPset,$AE$3,COUNTA(Chemicals)))</f>
        <v/>
      </c>
      <c r="EW22" s="1" t="str">
        <f>IF($I22="","",psi_i(a_iVal,y_iter4,$G22,Kij_Val,BIPset,$AE$3,COUNTA(Chemicals)))</f>
        <v/>
      </c>
      <c r="EX22" s="1"/>
      <c r="EY22" s="1" t="str">
        <f t="shared" ca="1" si="35"/>
        <v/>
      </c>
      <c r="EZ22" s="1" t="str">
        <f t="shared" ca="1" si="36"/>
        <v/>
      </c>
      <c r="FA22" s="1"/>
      <c r="FB22" s="1">
        <f>IF($I22="",0,phi_i($EU$7,$EJ$7,$EK$7,AC22,$FA$7,EV22,$EX$7))</f>
        <v>0</v>
      </c>
      <c r="FC22" s="1">
        <f>IF($I22="",0,phi_i($EU$10,$EL$7,$EM$7,AC22,$FA$10,EW22,$EX$10))</f>
        <v>0</v>
      </c>
      <c r="FD22">
        <f t="shared" si="37"/>
        <v>0</v>
      </c>
      <c r="FE22">
        <f t="shared" si="38"/>
        <v>0</v>
      </c>
      <c r="FF22">
        <f t="shared" si="39"/>
        <v>0</v>
      </c>
      <c r="FG22" s="89"/>
      <c r="FH22" s="86" t="str">
        <f t="shared" si="40"/>
        <v/>
      </c>
      <c r="FJ22" t="str">
        <f t="shared" ca="1" si="41"/>
        <v/>
      </c>
      <c r="FK22" t="str">
        <f t="shared" ca="1" si="42"/>
        <v/>
      </c>
      <c r="FX22" s="1" t="str">
        <f>IF($I22="","",psi_i(a_iVal,x_iter5,$G22,Kij_Val,BIPset,$AE$3,COUNTA(Chemicals)))</f>
        <v/>
      </c>
      <c r="FY22" s="1" t="str">
        <f>IF($I22="","",psi_i(a_iVal,y_iter5,$G22,Kij_Val,BIPset,$AE$3,COUNTA(Chemicals)))</f>
        <v/>
      </c>
      <c r="FZ22" s="1"/>
      <c r="GA22" s="1" t="str">
        <f t="shared" ca="1" si="43"/>
        <v/>
      </c>
      <c r="GB22" s="1" t="str">
        <f t="shared" ca="1" si="44"/>
        <v/>
      </c>
      <c r="GC22" s="1"/>
      <c r="GD22" s="1">
        <f>IF($I22="",0,phi_i($FW$7,$FL$7,$FM$7,AC22,$GC$7,FX22,$FZ$7))</f>
        <v>0</v>
      </c>
      <c r="GE22" s="1">
        <f>IF($I22="",0,phi_i($FW$10,$FN$7,$FO$7,AC22,$GC$10,FY22,$FZ$10))</f>
        <v>0</v>
      </c>
      <c r="GF22">
        <f t="shared" si="45"/>
        <v>0</v>
      </c>
      <c r="GG22">
        <f t="shared" si="46"/>
        <v>0</v>
      </c>
      <c r="GH22">
        <f t="shared" si="47"/>
        <v>0</v>
      </c>
      <c r="GI22" s="89"/>
      <c r="GJ22" s="86" t="str">
        <f t="shared" si="48"/>
        <v/>
      </c>
      <c r="GL22" t="str">
        <f t="shared" ca="1" si="49"/>
        <v/>
      </c>
      <c r="GM22" t="str">
        <f t="shared" ca="1" si="50"/>
        <v/>
      </c>
      <c r="GZ22" s="1" t="str">
        <f>IF($I22="","",psi_i(a_iVal,x_iter6,$G22,Kij_Val,BIPset,$AE$3,COUNTA(Chemicals)))</f>
        <v/>
      </c>
      <c r="HA22" s="1" t="str">
        <f>IF($I22="","",psi_i(a_iVal,y_iter6,$G22,Kij_Val,BIPset,$AE$3,COUNTA(Chemicals)))</f>
        <v/>
      </c>
      <c r="HB22" s="1"/>
      <c r="HC22" s="1" t="str">
        <f t="shared" ca="1" si="51"/>
        <v/>
      </c>
      <c r="HD22" s="1" t="str">
        <f t="shared" ca="1" si="52"/>
        <v/>
      </c>
      <c r="HE22" s="1"/>
      <c r="HF22" s="1">
        <f>IF($I22="",0,phi_i($GY$7,$GN$7,$GO$7,AC22,$HE$7,GZ22,$HB$7))</f>
        <v>0</v>
      </c>
      <c r="HG22" s="1">
        <f>IF($I22="",0,phi_i($GY$10,$GP$7,$GQ$7,AC22,$HE$10,HA22,$HB$10))</f>
        <v>0</v>
      </c>
      <c r="HH22">
        <f t="shared" si="53"/>
        <v>0</v>
      </c>
      <c r="HI22">
        <f t="shared" si="54"/>
        <v>0</v>
      </c>
      <c r="HJ22">
        <f t="shared" si="55"/>
        <v>0</v>
      </c>
      <c r="HK22" s="89"/>
      <c r="HL22" s="86" t="str">
        <f t="shared" si="56"/>
        <v/>
      </c>
      <c r="HN22" t="str">
        <f t="shared" ca="1" si="57"/>
        <v/>
      </c>
      <c r="HO22" t="str">
        <f t="shared" ca="1" si="58"/>
        <v/>
      </c>
      <c r="IB22" s="1" t="str">
        <f>IF($I22="","",psi_i(a_iVal,x_iter7,$G22,Kij_Val,BIPset,$AE$3,COUNTA(Chemicals)))</f>
        <v/>
      </c>
      <c r="IC22" s="1" t="str">
        <f>IF($I22="","",psi_i(a_iVal,y_iter7,$G22,Kij_Val,BIPset,$AE$3,COUNTA(Chemicals)))</f>
        <v/>
      </c>
      <c r="ID22" s="1"/>
      <c r="IE22" s="1" t="str">
        <f t="shared" ca="1" si="59"/>
        <v/>
      </c>
      <c r="IF22" s="1" t="str">
        <f t="shared" ca="1" si="60"/>
        <v/>
      </c>
      <c r="IG22" s="1"/>
      <c r="IH22" s="1">
        <f>IF($I22="",0,phi_i($IA$7,$HP$7,$HQ$7,AC22,$IG$7,IB22,$ID$7))</f>
        <v>0</v>
      </c>
      <c r="II22" s="1">
        <f>IF($I22="",0,phi_i($IA$10,$HR$7,$HS$7,AC22,$IG$10,IC22,$ID$10))</f>
        <v>0</v>
      </c>
      <c r="IJ22">
        <f t="shared" si="61"/>
        <v>0</v>
      </c>
      <c r="IK22">
        <f t="shared" si="62"/>
        <v>0</v>
      </c>
      <c r="IL22">
        <f t="shared" si="63"/>
        <v>0</v>
      </c>
      <c r="IM22" s="89"/>
      <c r="IN22" s="86" t="str">
        <f t="shared" si="64"/>
        <v/>
      </c>
      <c r="IP22" t="str">
        <f t="shared" ca="1" si="65"/>
        <v/>
      </c>
      <c r="IQ22" t="str">
        <f t="shared" ca="1" si="66"/>
        <v/>
      </c>
      <c r="JD22" s="1" t="str">
        <f>IF($I22="","",psi_i(a_iVal,x_iter8,$G22,Kij_Val,BIPset,$AE$3,COUNTA(Chemicals)))</f>
        <v/>
      </c>
      <c r="JE22" s="1" t="str">
        <f>IF($I22="","",psi_i(a_iVal,y_iter8,$G22,Kij_Val,BIPset,$AE$3,COUNTA(Chemicals)))</f>
        <v/>
      </c>
      <c r="JF22" s="1"/>
      <c r="JG22" s="1" t="str">
        <f t="shared" ca="1" si="67"/>
        <v/>
      </c>
      <c r="JH22" s="1" t="str">
        <f t="shared" ca="1" si="68"/>
        <v/>
      </c>
      <c r="JI22" s="1"/>
      <c r="JJ22" s="1">
        <f>IF($I22="",0,phi_i($JC$7,$IR$7,$IS$7,AC22,$JI$7,JD22,$JF$7))</f>
        <v>0</v>
      </c>
      <c r="JK22" s="1">
        <f>IF($I22="",0,phi_i($JC$10,$IT$7,$IU$7,AC22,$JI$10,JE22,$JF$10))</f>
        <v>0</v>
      </c>
      <c r="JL22">
        <f t="shared" si="69"/>
        <v>0</v>
      </c>
      <c r="JM22">
        <f t="shared" si="70"/>
        <v>0</v>
      </c>
      <c r="JN22">
        <f t="shared" si="71"/>
        <v>0</v>
      </c>
      <c r="JO22" s="89"/>
    </row>
    <row r="23" spans="1:275">
      <c r="A23" s="1" t="str">
        <f t="shared" si="73"/>
        <v>y_</v>
      </c>
      <c r="B23" s="101"/>
      <c r="C23" s="112" t="s">
        <v>185</v>
      </c>
      <c r="D23" s="97" t="str">
        <f t="shared" si="75"/>
        <v>x_</v>
      </c>
      <c r="E23" s="102"/>
      <c r="F23" s="109" t="s">
        <v>185</v>
      </c>
      <c r="H23" s="6" t="str">
        <f>IF(Wilson!B23="","",Wilson!B23)</f>
        <v/>
      </c>
      <c r="I23" s="3" t="str">
        <f>IF(Wilson!C23="","",Wilson!C23)</f>
        <v/>
      </c>
      <c r="J23" s="13"/>
      <c r="K23" s="13"/>
      <c r="L23" s="13"/>
      <c r="M23" s="13"/>
      <c r="N23" s="13"/>
      <c r="O23" s="13"/>
      <c r="P23" s="13"/>
      <c r="Q23" s="13"/>
      <c r="R23" s="13"/>
      <c r="S23" s="13"/>
      <c r="T23" s="13"/>
      <c r="U23" s="13"/>
      <c r="V23" s="13"/>
      <c r="W23" s="13"/>
      <c r="X23" s="1" t="str">
        <f>IF(Wilson!M23="","",Wilson!M23)</f>
        <v/>
      </c>
      <c r="Y23" s="13"/>
      <c r="Z23" s="13"/>
      <c r="AA23" s="13"/>
      <c r="AB23" s="13"/>
      <c r="AC23" s="13"/>
      <c r="AD23" s="74"/>
      <c r="AE23" s="75"/>
      <c r="AF23" s="75"/>
      <c r="AG23" s="75"/>
      <c r="AP23" s="1" t="str">
        <f>IF(I23="","",psi_i(a_iVal,x_iVal,G23,Kij_Val,BIPset,$AE$3,COUNTA(Chemicals)))</f>
        <v/>
      </c>
      <c r="AQ23" s="1" t="str">
        <f>IF(I23="","",psi_i(a_iVal,y_iVal, G23,Kij_Val,BIPset,$AE$3,COUNTA(Chemicals)))</f>
        <v/>
      </c>
      <c r="AR23" s="1"/>
      <c r="AS23" s="1" t="str">
        <f t="shared" si="6"/>
        <v/>
      </c>
      <c r="AT23" s="1">
        <f t="shared" si="7"/>
        <v>0</v>
      </c>
      <c r="AU23" s="1"/>
      <c r="AV23" s="1"/>
      <c r="AW23" s="1"/>
      <c r="AX23" s="1"/>
      <c r="BP23" s="1" t="str">
        <f>IF(I23="","",psi_i(a_iVal,x_iter1,G23,Kij_Val,BIPset,$AE$3,COUNTA(Chemicals)))</f>
        <v/>
      </c>
      <c r="BQ23" s="1" t="str">
        <f>IF(I23="","",psi_i(a_iVal,y_iter1,G23,Kij_Val,BIPset,$AE$3,COUNTA(Chemicals)))</f>
        <v/>
      </c>
      <c r="BR23" s="1"/>
      <c r="BS23" s="1">
        <f t="shared" si="11"/>
        <v>0</v>
      </c>
      <c r="BT23" s="1">
        <f t="shared" si="12"/>
        <v>0</v>
      </c>
      <c r="BU23" s="1"/>
      <c r="BV23" s="1">
        <f>IF(I23="",0,phi_i($BO$7,$BD$7,$BE$7,AC23,$BU$7,BP23,$BR$7))</f>
        <v>0</v>
      </c>
      <c r="BW23" s="1">
        <f>IF(I23="",0,phi_i($BO$10,$BF$7,$BG$7,AC23,$BU$10,BQ23,$BR$10))</f>
        <v>0</v>
      </c>
      <c r="BX23">
        <f t="shared" si="13"/>
        <v>0</v>
      </c>
      <c r="BY23">
        <f t="shared" si="14"/>
        <v>0</v>
      </c>
      <c r="BZ23">
        <f t="shared" si="15"/>
        <v>0</v>
      </c>
      <c r="CA23" s="89"/>
      <c r="CB23" s="86" t="str">
        <f t="shared" si="16"/>
        <v/>
      </c>
      <c r="CD23" t="str">
        <f t="shared" ca="1" si="17"/>
        <v/>
      </c>
      <c r="CE23" t="str">
        <f t="shared" ca="1" si="18"/>
        <v/>
      </c>
      <c r="CR23" s="1" t="str">
        <f>IF($I23="","",psi_i(a_iVal,x_iter2,$G23,Kij_Val,BIPset,$AE$3,COUNTA(Chemicals)))</f>
        <v/>
      </c>
      <c r="CS23" s="1" t="str">
        <f>IF($I23="","",psi_i(a_iVal,y_iter2,$G23,Kij_Val,BIPset,$AE$3,COUNTA(Chemicals)))</f>
        <v/>
      </c>
      <c r="CT23" s="1"/>
      <c r="CU23" s="1" t="str">
        <f t="shared" ca="1" si="19"/>
        <v/>
      </c>
      <c r="CV23" s="1" t="str">
        <f t="shared" ca="1" si="20"/>
        <v/>
      </c>
      <c r="CW23" s="1"/>
      <c r="CX23" s="1">
        <f>IF($I23="",0,phi_i($CQ$7,$CF$7,$CG$7,AC23,$CW$7,CR23,$CT$7))</f>
        <v>0</v>
      </c>
      <c r="CY23" s="1">
        <f>IF($I23="",0,phi_i($CQ$10,$CH$7,$CI$7,AC23,$CW$10,CS23,$CT$10))</f>
        <v>0</v>
      </c>
      <c r="CZ23">
        <f t="shared" si="21"/>
        <v>0</v>
      </c>
      <c r="DA23">
        <f t="shared" si="22"/>
        <v>0</v>
      </c>
      <c r="DB23">
        <f t="shared" si="23"/>
        <v>0</v>
      </c>
      <c r="DC23" s="89"/>
      <c r="DD23" s="86" t="str">
        <f t="shared" si="24"/>
        <v/>
      </c>
      <c r="DF23" t="str">
        <f t="shared" ca="1" si="25"/>
        <v/>
      </c>
      <c r="DG23" t="str">
        <f t="shared" ca="1" si="26"/>
        <v/>
      </c>
      <c r="DT23" s="1" t="str">
        <f>IF($I23="","",psi_i(a_iVal,x_iter3,$G23,Kij_Val,BIPset,$AE$3,COUNTA(Chemicals)))</f>
        <v/>
      </c>
      <c r="DU23" s="1" t="str">
        <f>IF($I23="","",psi_i(a_iVal,y_iter3,$G23,Kij_Val,BIPset,$AE$3,COUNTA(Chemicals)))</f>
        <v/>
      </c>
      <c r="DV23" s="1"/>
      <c r="DW23" s="1" t="str">
        <f t="shared" ca="1" si="27"/>
        <v/>
      </c>
      <c r="DX23" s="1" t="str">
        <f t="shared" ca="1" si="28"/>
        <v/>
      </c>
      <c r="DY23" s="1"/>
      <c r="DZ23" s="1">
        <f>IF($I23="",0,phi_i($DS$7,$DH$7,$DI$7,AC23,$DY$7,DT23,$DV$7))</f>
        <v>0</v>
      </c>
      <c r="EA23" s="1">
        <f>IF($I23="",0,phi_i($DS$10,$DJ$7,$DK$7,AC23,$DY$10,DU23,$DV$10))</f>
        <v>0</v>
      </c>
      <c r="EB23">
        <f t="shared" si="29"/>
        <v>0</v>
      </c>
      <c r="EC23">
        <f t="shared" si="30"/>
        <v>0</v>
      </c>
      <c r="ED23">
        <f t="shared" si="31"/>
        <v>0</v>
      </c>
      <c r="EE23" s="89"/>
      <c r="EF23" s="86" t="str">
        <f t="shared" si="32"/>
        <v/>
      </c>
      <c r="EH23" t="str">
        <f t="shared" ca="1" si="33"/>
        <v/>
      </c>
      <c r="EI23" t="str">
        <f t="shared" ca="1" si="34"/>
        <v/>
      </c>
      <c r="EV23" s="1" t="str">
        <f>IF($I23="","",psi_i(a_iVal,x_iter4,$G23,Kij_Val,BIPset,$AE$3,COUNTA(Chemicals)))</f>
        <v/>
      </c>
      <c r="EW23" s="1" t="str">
        <f>IF($I23="","",psi_i(a_iVal,y_iter4,$G23,Kij_Val,BIPset,$AE$3,COUNTA(Chemicals)))</f>
        <v/>
      </c>
      <c r="EX23" s="1"/>
      <c r="EY23" s="1" t="str">
        <f t="shared" ca="1" si="35"/>
        <v/>
      </c>
      <c r="EZ23" s="1" t="str">
        <f t="shared" ca="1" si="36"/>
        <v/>
      </c>
      <c r="FA23" s="1"/>
      <c r="FB23" s="1">
        <f>IF($I23="",0,phi_i($EU$7,$EJ$7,$EK$7,AC23,$FA$7,EV23,$EX$7))</f>
        <v>0</v>
      </c>
      <c r="FC23" s="1">
        <f>IF($I23="",0,phi_i($EU$10,$EL$7,$EM$7,AC23,$FA$10,EW23,$EX$10))</f>
        <v>0</v>
      </c>
      <c r="FD23">
        <f t="shared" si="37"/>
        <v>0</v>
      </c>
      <c r="FE23">
        <f t="shared" si="38"/>
        <v>0</v>
      </c>
      <c r="FF23">
        <f t="shared" si="39"/>
        <v>0</v>
      </c>
      <c r="FG23" s="89"/>
      <c r="FH23" s="86" t="str">
        <f t="shared" si="40"/>
        <v/>
      </c>
      <c r="FJ23" t="str">
        <f t="shared" ca="1" si="41"/>
        <v/>
      </c>
      <c r="FK23" t="str">
        <f t="shared" ca="1" si="42"/>
        <v/>
      </c>
      <c r="FX23" s="1" t="str">
        <f>IF($I23="","",psi_i(a_iVal,x_iter5,$G23,Kij_Val,BIPset,$AE$3,COUNTA(Chemicals)))</f>
        <v/>
      </c>
      <c r="FY23" s="1" t="str">
        <f>IF($I23="","",psi_i(a_iVal,y_iter5,$G23,Kij_Val,BIPset,$AE$3,COUNTA(Chemicals)))</f>
        <v/>
      </c>
      <c r="FZ23" s="1"/>
      <c r="GA23" s="1" t="str">
        <f t="shared" ca="1" si="43"/>
        <v/>
      </c>
      <c r="GB23" s="1" t="str">
        <f t="shared" ca="1" si="44"/>
        <v/>
      </c>
      <c r="GC23" s="1"/>
      <c r="GD23" s="1">
        <f>IF($I23="",0,phi_i($FW$7,$FL$7,$FM$7,AC23,$GC$7,FX23,$FZ$7))</f>
        <v>0</v>
      </c>
      <c r="GE23" s="1">
        <f>IF($I23="",0,phi_i($FW$10,$FN$7,$FO$7,AC23,$GC$10,FY23,$FZ$10))</f>
        <v>0</v>
      </c>
      <c r="GF23">
        <f t="shared" si="45"/>
        <v>0</v>
      </c>
      <c r="GG23">
        <f t="shared" si="46"/>
        <v>0</v>
      </c>
      <c r="GH23">
        <f t="shared" si="47"/>
        <v>0</v>
      </c>
      <c r="GI23" s="89"/>
      <c r="GJ23" s="86" t="str">
        <f t="shared" si="48"/>
        <v/>
      </c>
      <c r="GL23" t="str">
        <f t="shared" ca="1" si="49"/>
        <v/>
      </c>
      <c r="GM23" t="str">
        <f t="shared" ca="1" si="50"/>
        <v/>
      </c>
      <c r="GZ23" s="1" t="str">
        <f>IF($I23="","",psi_i(a_iVal,x_iter6,$G23,Kij_Val,BIPset,$AE$3,COUNTA(Chemicals)))</f>
        <v/>
      </c>
      <c r="HA23" s="1" t="str">
        <f>IF($I23="","",psi_i(a_iVal,y_iter6,$G23,Kij_Val,BIPset,$AE$3,COUNTA(Chemicals)))</f>
        <v/>
      </c>
      <c r="HB23" s="1"/>
      <c r="HC23" s="1" t="str">
        <f t="shared" ca="1" si="51"/>
        <v/>
      </c>
      <c r="HD23" s="1" t="str">
        <f t="shared" ca="1" si="52"/>
        <v/>
      </c>
      <c r="HE23" s="1"/>
      <c r="HF23" s="1">
        <f>IF($I23="",0,phi_i($GY$7,$GN$7,$GO$7,AC23,$HE$7,GZ23,$HB$7))</f>
        <v>0</v>
      </c>
      <c r="HG23" s="1">
        <f>IF($I23="",0,phi_i($GY$10,$GP$7,$GQ$7,AC23,$HE$10,HA23,$HB$10))</f>
        <v>0</v>
      </c>
      <c r="HH23">
        <f t="shared" si="53"/>
        <v>0</v>
      </c>
      <c r="HI23">
        <f t="shared" si="54"/>
        <v>0</v>
      </c>
      <c r="HJ23">
        <f t="shared" si="55"/>
        <v>0</v>
      </c>
      <c r="HK23" s="89"/>
      <c r="HL23" s="86" t="str">
        <f t="shared" si="56"/>
        <v/>
      </c>
      <c r="HN23" t="str">
        <f t="shared" ca="1" si="57"/>
        <v/>
      </c>
      <c r="HO23" t="str">
        <f t="shared" ca="1" si="58"/>
        <v/>
      </c>
      <c r="IB23" s="1" t="str">
        <f>IF($I23="","",psi_i(a_iVal,x_iter7,$G23,Kij_Val,BIPset,$AE$3,COUNTA(Chemicals)))</f>
        <v/>
      </c>
      <c r="IC23" s="1" t="str">
        <f>IF($I23="","",psi_i(a_iVal,y_iter7,$G23,Kij_Val,BIPset,$AE$3,COUNTA(Chemicals)))</f>
        <v/>
      </c>
      <c r="ID23" s="1"/>
      <c r="IE23" s="1" t="str">
        <f t="shared" ca="1" si="59"/>
        <v/>
      </c>
      <c r="IF23" s="1" t="str">
        <f t="shared" ca="1" si="60"/>
        <v/>
      </c>
      <c r="IG23" s="1"/>
      <c r="IH23" s="1">
        <f>IF($I23="",0,phi_i($IA$7,$HP$7,$HQ$7,AC23,$IG$7,IB23,$ID$7))</f>
        <v>0</v>
      </c>
      <c r="II23" s="1">
        <f>IF($I23="",0,phi_i($IA$10,$HR$7,$HS$7,AC23,$IG$10,IC23,$ID$10))</f>
        <v>0</v>
      </c>
      <c r="IJ23">
        <f t="shared" si="61"/>
        <v>0</v>
      </c>
      <c r="IK23">
        <f t="shared" si="62"/>
        <v>0</v>
      </c>
      <c r="IL23">
        <f t="shared" si="63"/>
        <v>0</v>
      </c>
      <c r="IM23" s="89"/>
      <c r="IN23" s="86" t="str">
        <f t="shared" si="64"/>
        <v/>
      </c>
      <c r="IP23" t="str">
        <f t="shared" ca="1" si="65"/>
        <v/>
      </c>
      <c r="IQ23" t="str">
        <f t="shared" ca="1" si="66"/>
        <v/>
      </c>
      <c r="JD23" s="1" t="str">
        <f>IF($I23="","",psi_i(a_iVal,x_iter8,$G23,Kij_Val,BIPset,$AE$3,COUNTA(Chemicals)))</f>
        <v/>
      </c>
      <c r="JE23" s="1" t="str">
        <f>IF($I23="","",psi_i(a_iVal,y_iter8,$G23,Kij_Val,BIPset,$AE$3,COUNTA(Chemicals)))</f>
        <v/>
      </c>
      <c r="JF23" s="1"/>
      <c r="JG23" s="1" t="str">
        <f t="shared" ca="1" si="67"/>
        <v/>
      </c>
      <c r="JH23" s="1" t="str">
        <f t="shared" ca="1" si="68"/>
        <v/>
      </c>
      <c r="JI23" s="1"/>
      <c r="JJ23" s="1">
        <f>IF($I23="",0,phi_i($JC$7,$IR$7,$IS$7,AC23,$JI$7,JD23,$JF$7))</f>
        <v>0</v>
      </c>
      <c r="JK23" s="1">
        <f>IF($I23="",0,phi_i($JC$10,$IT$7,$IU$7,AC23,$JI$10,JE23,$JF$10))</f>
        <v>0</v>
      </c>
      <c r="JL23">
        <f t="shared" si="69"/>
        <v>0</v>
      </c>
      <c r="JM23">
        <f t="shared" si="70"/>
        <v>0</v>
      </c>
      <c r="JN23">
        <f t="shared" si="71"/>
        <v>0</v>
      </c>
      <c r="JO23" s="89"/>
    </row>
    <row r="24" spans="1:275">
      <c r="A24" s="166" t="s">
        <v>186</v>
      </c>
      <c r="B24" s="167"/>
      <c r="C24" s="167"/>
      <c r="D24" s="167"/>
      <c r="E24" s="167"/>
      <c r="F24" s="168"/>
      <c r="H24" s="6" t="str">
        <f>IF(Wilson!B24="","",Wilson!B24)</f>
        <v/>
      </c>
      <c r="I24" s="3" t="str">
        <f>IF(Wilson!C24="","",Wilson!C24)</f>
        <v/>
      </c>
      <c r="J24" s="13"/>
      <c r="K24" s="13"/>
      <c r="L24" s="13"/>
      <c r="M24" s="13"/>
      <c r="N24" s="113"/>
      <c r="O24" s="60"/>
      <c r="P24" s="13"/>
      <c r="Q24" s="13"/>
      <c r="R24" s="13"/>
      <c r="S24" s="13"/>
      <c r="T24" s="13"/>
      <c r="U24" s="13"/>
      <c r="V24" s="13"/>
      <c r="W24" s="13"/>
      <c r="X24" s="1" t="str">
        <f>IF(Wilson!M24="","",Wilson!M24)</f>
        <v/>
      </c>
      <c r="Y24" s="13"/>
      <c r="Z24" s="13"/>
      <c r="AA24" s="13"/>
      <c r="AB24" s="13"/>
      <c r="AC24" s="13"/>
      <c r="AD24" s="74"/>
      <c r="AE24" s="75"/>
      <c r="AF24" s="75"/>
      <c r="AG24" s="75"/>
      <c r="AP24" s="1" t="str">
        <f>IF(I24="","",psi_i(a_iVal,x_iVal,G24,Kij_Val,BIPset,$AE$3,COUNTA(Chemicals)))</f>
        <v/>
      </c>
      <c r="AQ24" s="1" t="str">
        <f>IF(I24="","",psi_i(a_iVal,y_iVal, G24,Kij_Val,BIPset,$AE$3,COUNTA(Chemicals)))</f>
        <v/>
      </c>
      <c r="AR24" s="1"/>
      <c r="AS24" s="1" t="str">
        <f t="shared" si="6"/>
        <v/>
      </c>
      <c r="AT24" s="1">
        <f t="shared" si="7"/>
        <v>0</v>
      </c>
      <c r="AU24" s="1"/>
      <c r="AV24" s="1"/>
      <c r="AW24" s="1"/>
      <c r="AX24" s="1"/>
      <c r="BP24" s="1" t="str">
        <f>IF(I24="","",psi_i(a_iVal,x_iter1,G24,Kij_Val,BIPset,$AE$3,COUNTA(Chemicals)))</f>
        <v/>
      </c>
      <c r="BQ24" s="1" t="str">
        <f>IF(I24="","",psi_i(a_iVal,y_iter1,G24,Kij_Val,BIPset,$AE$3,COUNTA(Chemicals)))</f>
        <v/>
      </c>
      <c r="BR24" s="1"/>
      <c r="BS24" s="1">
        <f t="shared" si="11"/>
        <v>0</v>
      </c>
      <c r="BT24" s="1">
        <f t="shared" si="12"/>
        <v>0</v>
      </c>
      <c r="BU24" s="1"/>
      <c r="BV24" s="1">
        <f>IF(I24="",0,phi_i($BO$7,$BD$7,$BE$7,AC24,$BU$7,BP24,$BR$7))</f>
        <v>0</v>
      </c>
      <c r="BW24" s="1">
        <f>IF(I24="",0,phi_i($BO$10,$BF$7,$BG$7,AC24,$BU$10,BQ24,$BR$10))</f>
        <v>0</v>
      </c>
      <c r="BX24">
        <f t="shared" si="13"/>
        <v>0</v>
      </c>
      <c r="BY24">
        <f t="shared" si="14"/>
        <v>0</v>
      </c>
      <c r="BZ24">
        <f t="shared" si="15"/>
        <v>0</v>
      </c>
      <c r="CA24" s="89"/>
      <c r="CB24" s="86" t="str">
        <f t="shared" si="16"/>
        <v/>
      </c>
      <c r="CD24" t="str">
        <f t="shared" ca="1" si="17"/>
        <v/>
      </c>
      <c r="CE24" t="str">
        <f t="shared" ca="1" si="18"/>
        <v/>
      </c>
      <c r="CR24" s="1" t="str">
        <f>IF($I24="","",psi_i(a_iVal,x_iter2,$G24,Kij_Val,BIPset,$AE$3,COUNTA(Chemicals)))</f>
        <v/>
      </c>
      <c r="CS24" s="1" t="str">
        <f>IF($I24="","",psi_i(a_iVal,y_iter2,$G24,Kij_Val,BIPset,$AE$3,COUNTA(Chemicals)))</f>
        <v/>
      </c>
      <c r="CT24" s="1"/>
      <c r="CU24" s="1" t="str">
        <f t="shared" ca="1" si="19"/>
        <v/>
      </c>
      <c r="CV24" s="1" t="str">
        <f t="shared" ca="1" si="20"/>
        <v/>
      </c>
      <c r="CW24" s="1"/>
      <c r="CX24" s="1">
        <f>IF($I24="",0,phi_i($CQ$7,$CF$7,$CG$7,AC24,$CW$7,CR24,$CT$7))</f>
        <v>0</v>
      </c>
      <c r="CY24" s="1">
        <f>IF($I24="",0,phi_i($CQ$10,$CH$7,$CI$7,AC24,$CW$10,CS24,$CT$10))</f>
        <v>0</v>
      </c>
      <c r="CZ24">
        <f t="shared" si="21"/>
        <v>0</v>
      </c>
      <c r="DA24">
        <f t="shared" si="22"/>
        <v>0</v>
      </c>
      <c r="DB24">
        <f t="shared" si="23"/>
        <v>0</v>
      </c>
      <c r="DC24" s="89"/>
      <c r="DD24" s="86" t="str">
        <f t="shared" si="24"/>
        <v/>
      </c>
      <c r="DF24" t="str">
        <f t="shared" ca="1" si="25"/>
        <v/>
      </c>
      <c r="DG24" t="str">
        <f t="shared" ca="1" si="26"/>
        <v/>
      </c>
      <c r="DT24" s="1" t="str">
        <f>IF($I24="","",psi_i(a_iVal,x_iter3,$G24,Kij_Val,BIPset,$AE$3,COUNTA(Chemicals)))</f>
        <v/>
      </c>
      <c r="DU24" s="1" t="str">
        <f>IF($I24="","",psi_i(a_iVal,y_iter3,$G24,Kij_Val,BIPset,$AE$3,COUNTA(Chemicals)))</f>
        <v/>
      </c>
      <c r="DV24" s="1"/>
      <c r="DW24" s="1" t="str">
        <f t="shared" ca="1" si="27"/>
        <v/>
      </c>
      <c r="DX24" s="1" t="str">
        <f t="shared" ca="1" si="28"/>
        <v/>
      </c>
      <c r="DY24" s="1"/>
      <c r="DZ24" s="1">
        <f>IF($I24="",0,phi_i($DS$7,$DH$7,$DI$7,AC24,$DY$7,DT24,$DV$7))</f>
        <v>0</v>
      </c>
      <c r="EA24" s="1">
        <f>IF($I24="",0,phi_i($DS$10,$DJ$7,$DK$7,AC24,$DY$10,DU24,$DV$10))</f>
        <v>0</v>
      </c>
      <c r="EB24">
        <f t="shared" si="29"/>
        <v>0</v>
      </c>
      <c r="EC24">
        <f t="shared" si="30"/>
        <v>0</v>
      </c>
      <c r="ED24">
        <f t="shared" si="31"/>
        <v>0</v>
      </c>
      <c r="EE24" s="89"/>
      <c r="EF24" s="86" t="str">
        <f t="shared" si="32"/>
        <v/>
      </c>
      <c r="EH24" t="str">
        <f t="shared" ca="1" si="33"/>
        <v/>
      </c>
      <c r="EI24" t="str">
        <f t="shared" ca="1" si="34"/>
        <v/>
      </c>
      <c r="EV24" s="1" t="str">
        <f>IF($I24="","",psi_i(a_iVal,x_iter4,$G24,Kij_Val,BIPset,$AE$3,COUNTA(Chemicals)))</f>
        <v/>
      </c>
      <c r="EW24" s="1" t="str">
        <f>IF($I24="","",psi_i(a_iVal,y_iter4,$G24,Kij_Val,BIPset,$AE$3,COUNTA(Chemicals)))</f>
        <v/>
      </c>
      <c r="EX24" s="1"/>
      <c r="EY24" s="1" t="str">
        <f t="shared" ca="1" si="35"/>
        <v/>
      </c>
      <c r="EZ24" s="1" t="str">
        <f t="shared" ca="1" si="36"/>
        <v/>
      </c>
      <c r="FA24" s="1"/>
      <c r="FB24" s="1">
        <f>IF($I24="",0,phi_i($EU$7,$EJ$7,$EK$7,AC24,$FA$7,EV24,$EX$7))</f>
        <v>0</v>
      </c>
      <c r="FC24" s="1">
        <f>IF($I24="",0,phi_i($EU$10,$EL$7,$EM$7,AC24,$FA$10,EW24,$EX$10))</f>
        <v>0</v>
      </c>
      <c r="FD24">
        <f t="shared" si="37"/>
        <v>0</v>
      </c>
      <c r="FE24">
        <f t="shared" si="38"/>
        <v>0</v>
      </c>
      <c r="FF24">
        <f t="shared" si="39"/>
        <v>0</v>
      </c>
      <c r="FG24" s="89"/>
      <c r="FH24" s="86" t="str">
        <f t="shared" si="40"/>
        <v/>
      </c>
      <c r="FJ24" t="str">
        <f t="shared" ca="1" si="41"/>
        <v/>
      </c>
      <c r="FK24" t="str">
        <f t="shared" ca="1" si="42"/>
        <v/>
      </c>
      <c r="FX24" s="1" t="str">
        <f>IF($I24="","",psi_i(a_iVal,x_iter5,$G24,Kij_Val,BIPset,$AE$3,COUNTA(Chemicals)))</f>
        <v/>
      </c>
      <c r="FY24" s="1" t="str">
        <f>IF($I24="","",psi_i(a_iVal,y_iter5,$G24,Kij_Val,BIPset,$AE$3,COUNTA(Chemicals)))</f>
        <v/>
      </c>
      <c r="FZ24" s="1"/>
      <c r="GA24" s="1" t="str">
        <f t="shared" ca="1" si="43"/>
        <v/>
      </c>
      <c r="GB24" s="1" t="str">
        <f t="shared" ca="1" si="44"/>
        <v/>
      </c>
      <c r="GC24" s="1"/>
      <c r="GD24" s="1">
        <f>IF($I24="",0,phi_i($FW$7,$FL$7,$FM$7,AC24,$GC$7,FX24,$FZ$7))</f>
        <v>0</v>
      </c>
      <c r="GE24" s="1">
        <f>IF($I24="",0,phi_i($FW$10,$FN$7,$FO$7,AC24,$GC$10,FY24,$FZ$10))</f>
        <v>0</v>
      </c>
      <c r="GF24">
        <f t="shared" si="45"/>
        <v>0</v>
      </c>
      <c r="GG24">
        <f t="shared" si="46"/>
        <v>0</v>
      </c>
      <c r="GH24">
        <f t="shared" si="47"/>
        <v>0</v>
      </c>
      <c r="GI24" s="89"/>
      <c r="GJ24" s="86" t="str">
        <f t="shared" si="48"/>
        <v/>
      </c>
      <c r="GL24" t="str">
        <f t="shared" ca="1" si="49"/>
        <v/>
      </c>
      <c r="GM24" t="str">
        <f t="shared" ca="1" si="50"/>
        <v/>
      </c>
      <c r="GZ24" s="1" t="str">
        <f>IF($I24="","",psi_i(a_iVal,x_iter6,$G24,Kij_Val,BIPset,$AE$3,COUNTA(Chemicals)))</f>
        <v/>
      </c>
      <c r="HA24" s="1" t="str">
        <f>IF($I24="","",psi_i(a_iVal,y_iter6,$G24,Kij_Val,BIPset,$AE$3,COUNTA(Chemicals)))</f>
        <v/>
      </c>
      <c r="HB24" s="1"/>
      <c r="HC24" s="1" t="str">
        <f t="shared" ca="1" si="51"/>
        <v/>
      </c>
      <c r="HD24" s="1" t="str">
        <f t="shared" ca="1" si="52"/>
        <v/>
      </c>
      <c r="HE24" s="1"/>
      <c r="HF24" s="1">
        <f>IF($I24="",0,phi_i($GY$7,$GN$7,$GO$7,AC24,$HE$7,GZ24,$HB$7))</f>
        <v>0</v>
      </c>
      <c r="HG24" s="1">
        <f>IF($I24="",0,phi_i($GY$10,$GP$7,$GQ$7,AC24,$HE$10,HA24,$HB$10))</f>
        <v>0</v>
      </c>
      <c r="HH24">
        <f t="shared" si="53"/>
        <v>0</v>
      </c>
      <c r="HI24">
        <f t="shared" si="54"/>
        <v>0</v>
      </c>
      <c r="HJ24">
        <f t="shared" si="55"/>
        <v>0</v>
      </c>
      <c r="HK24" s="89"/>
      <c r="HL24" s="86" t="str">
        <f t="shared" si="56"/>
        <v/>
      </c>
      <c r="HN24" t="str">
        <f t="shared" ca="1" si="57"/>
        <v/>
      </c>
      <c r="HO24" t="str">
        <f t="shared" ca="1" si="58"/>
        <v/>
      </c>
      <c r="IB24" s="1" t="str">
        <f>IF($I24="","",psi_i(a_iVal,x_iter7,$G24,Kij_Val,BIPset,$AE$3,COUNTA(Chemicals)))</f>
        <v/>
      </c>
      <c r="IC24" s="1" t="str">
        <f>IF($I24="","",psi_i(a_iVal,y_iter7,$G24,Kij_Val,BIPset,$AE$3,COUNTA(Chemicals)))</f>
        <v/>
      </c>
      <c r="ID24" s="1"/>
      <c r="IE24" s="1" t="str">
        <f t="shared" ca="1" si="59"/>
        <v/>
      </c>
      <c r="IF24" s="1" t="str">
        <f t="shared" ca="1" si="60"/>
        <v/>
      </c>
      <c r="IG24" s="1"/>
      <c r="IH24" s="1">
        <f>IF($I24="",0,phi_i($IA$7,$HP$7,$HQ$7,AC24,$IG$7,IB24,$ID$7))</f>
        <v>0</v>
      </c>
      <c r="II24" s="1">
        <f>IF($I24="",0,phi_i($IA$10,$HR$7,$HS$7,AC24,$IG$10,IC24,$ID$10))</f>
        <v>0</v>
      </c>
      <c r="IJ24">
        <f t="shared" si="61"/>
        <v>0</v>
      </c>
      <c r="IK24">
        <f t="shared" si="62"/>
        <v>0</v>
      </c>
      <c r="IL24">
        <f t="shared" si="63"/>
        <v>0</v>
      </c>
      <c r="IM24" s="89"/>
      <c r="IN24" s="86" t="str">
        <f t="shared" si="64"/>
        <v/>
      </c>
      <c r="IP24" t="str">
        <f t="shared" ca="1" si="65"/>
        <v/>
      </c>
      <c r="IQ24" t="str">
        <f t="shared" ca="1" si="66"/>
        <v/>
      </c>
      <c r="JD24" s="1" t="str">
        <f>IF($I24="","",psi_i(a_iVal,x_iter8,$G24,Kij_Val,BIPset,$AE$3,COUNTA(Chemicals)))</f>
        <v/>
      </c>
      <c r="JE24" s="1" t="str">
        <f>IF($I24="","",psi_i(a_iVal,y_iter8,$G24,Kij_Val,BIPset,$AE$3,COUNTA(Chemicals)))</f>
        <v/>
      </c>
      <c r="JF24" s="1"/>
      <c r="JG24" s="1" t="str">
        <f t="shared" ca="1" si="67"/>
        <v/>
      </c>
      <c r="JH24" s="1" t="str">
        <f t="shared" ca="1" si="68"/>
        <v/>
      </c>
      <c r="JI24" s="1"/>
      <c r="JJ24" s="1">
        <f>IF($I24="",0,phi_i($JC$7,$IR$7,$IS$7,AC24,$JI$7,JD24,$JF$7))</f>
        <v>0</v>
      </c>
      <c r="JK24" s="1">
        <f>IF($I24="",0,phi_i($JC$10,$IT$7,$IU$7,AC24,$JI$10,JE24,$JF$10))</f>
        <v>0</v>
      </c>
      <c r="JL24">
        <f t="shared" si="69"/>
        <v>0</v>
      </c>
      <c r="JM24">
        <f t="shared" si="70"/>
        <v>0</v>
      </c>
      <c r="JN24">
        <f t="shared" si="71"/>
        <v>0</v>
      </c>
      <c r="JO24" s="89"/>
    </row>
    <row r="25" spans="1:275">
      <c r="A25" s="171" t="s">
        <v>6</v>
      </c>
      <c r="B25" s="172"/>
      <c r="C25" s="171" t="s">
        <v>4</v>
      </c>
      <c r="D25" s="173"/>
      <c r="E25" s="171" t="s">
        <v>5</v>
      </c>
      <c r="F25" s="172"/>
      <c r="H25" s="6" t="str">
        <f>IF(Wilson!B25="","",Wilson!B25)</f>
        <v/>
      </c>
      <c r="I25" s="3" t="str">
        <f>IF(Wilson!C25="","",Wilson!C25)</f>
        <v/>
      </c>
      <c r="J25" s="13"/>
      <c r="K25" s="13"/>
      <c r="L25" s="13"/>
      <c r="M25" s="13"/>
      <c r="N25" s="55"/>
      <c r="O25" s="13"/>
      <c r="P25" s="13"/>
      <c r="Q25" s="13"/>
      <c r="R25" s="13"/>
      <c r="S25" s="13"/>
      <c r="T25" s="13"/>
      <c r="U25" s="13"/>
      <c r="V25" s="13"/>
      <c r="W25" s="13"/>
      <c r="X25" s="1" t="str">
        <f>IF(Wilson!M25="","",Wilson!M25)</f>
        <v/>
      </c>
      <c r="Y25" s="13"/>
      <c r="Z25" s="13"/>
      <c r="AA25" s="13"/>
      <c r="AB25" s="13"/>
      <c r="AC25" s="13"/>
      <c r="AD25" s="74"/>
      <c r="AE25" s="75"/>
      <c r="AF25" s="75"/>
      <c r="AG25" s="75"/>
      <c r="AP25" s="1" t="str">
        <f>IF(I25="","",psi_i(a_iVal,x_iVal,G25,Kij_Val,BIPset,$AE$3,COUNTA(Chemicals)))</f>
        <v/>
      </c>
      <c r="AQ25" s="1" t="str">
        <f>IF(I25="","",psi_i(a_iVal,y_iVal, G25,Kij_Val,BIPset,$AE$3,COUNTA(Chemicals)))</f>
        <v/>
      </c>
      <c r="AR25" s="1"/>
      <c r="AS25" s="1" t="str">
        <f t="shared" si="6"/>
        <v/>
      </c>
      <c r="AT25" s="1">
        <f t="shared" si="7"/>
        <v>0</v>
      </c>
      <c r="AU25" s="1"/>
      <c r="AV25" s="1"/>
      <c r="AW25" s="1"/>
      <c r="AX25" s="1"/>
      <c r="BP25" s="1" t="str">
        <f>IF(I25="","",psi_i(a_iVal,x_iter1,G25,Kij_Val,BIPset,$AE$3,COUNTA(Chemicals)))</f>
        <v/>
      </c>
      <c r="BQ25" s="1" t="str">
        <f>IF(I25="","",psi_i(a_iVal,y_iter1,G25,Kij_Val,BIPset,$AE$3,COUNTA(Chemicals)))</f>
        <v/>
      </c>
      <c r="BR25" s="1"/>
      <c r="BS25" s="1">
        <f t="shared" si="11"/>
        <v>0</v>
      </c>
      <c r="BT25" s="1">
        <f t="shared" si="12"/>
        <v>0</v>
      </c>
      <c r="BU25" s="1"/>
      <c r="BV25" s="1">
        <f>IF(I25="",0,phi_i($BO$7,$BD$7,$BE$7,AC25,$BU$7,BP25,$BR$7))</f>
        <v>0</v>
      </c>
      <c r="BW25" s="1">
        <f>IF(I25="",0,phi_i($BO$10,$BF$7,$BG$7,AC25,$BU$10,BQ25,$BR$10))</f>
        <v>0</v>
      </c>
      <c r="BX25">
        <f t="shared" si="13"/>
        <v>0</v>
      </c>
      <c r="BY25">
        <f t="shared" si="14"/>
        <v>0</v>
      </c>
      <c r="BZ25">
        <f t="shared" si="15"/>
        <v>0</v>
      </c>
      <c r="CA25" s="89"/>
      <c r="CB25" s="86" t="str">
        <f t="shared" si="16"/>
        <v/>
      </c>
      <c r="CD25" t="str">
        <f t="shared" ca="1" si="17"/>
        <v/>
      </c>
      <c r="CE25" t="str">
        <f t="shared" ca="1" si="18"/>
        <v/>
      </c>
      <c r="CR25" s="1" t="str">
        <f>IF($I25="","",psi_i(a_iVal,x_iter2,$G25,Kij_Val,BIPset,$AE$3,COUNTA(Chemicals)))</f>
        <v/>
      </c>
      <c r="CS25" s="1" t="str">
        <f>IF($I25="","",psi_i(a_iVal,y_iter2,$G25,Kij_Val,BIPset,$AE$3,COUNTA(Chemicals)))</f>
        <v/>
      </c>
      <c r="CT25" s="1"/>
      <c r="CU25" s="1" t="str">
        <f t="shared" ca="1" si="19"/>
        <v/>
      </c>
      <c r="CV25" s="1" t="str">
        <f t="shared" ca="1" si="20"/>
        <v/>
      </c>
      <c r="CW25" s="1"/>
      <c r="CX25" s="1">
        <f>IF($I25="",0,phi_i($CQ$7,$CF$7,$CG$7,AC25,$CW$7,CR25,$CT$7))</f>
        <v>0</v>
      </c>
      <c r="CY25" s="1">
        <f>IF($I25="",0,phi_i($CQ$10,$CH$7,$CI$7,AC25,$CW$10,CS25,$CT$10))</f>
        <v>0</v>
      </c>
      <c r="CZ25">
        <f t="shared" si="21"/>
        <v>0</v>
      </c>
      <c r="DA25">
        <f t="shared" si="22"/>
        <v>0</v>
      </c>
      <c r="DB25">
        <f t="shared" si="23"/>
        <v>0</v>
      </c>
      <c r="DC25" s="89"/>
      <c r="DD25" s="86" t="str">
        <f t="shared" si="24"/>
        <v/>
      </c>
      <c r="DF25" t="str">
        <f t="shared" ca="1" si="25"/>
        <v/>
      </c>
      <c r="DG25" t="str">
        <f t="shared" ca="1" si="26"/>
        <v/>
      </c>
      <c r="DT25" s="1" t="str">
        <f>IF($I25="","",psi_i(a_iVal,x_iter3,$G25,Kij_Val,BIPset,$AE$3,COUNTA(Chemicals)))</f>
        <v/>
      </c>
      <c r="DU25" s="1" t="str">
        <f>IF($I25="","",psi_i(a_iVal,y_iter3,$G25,Kij_Val,BIPset,$AE$3,COUNTA(Chemicals)))</f>
        <v/>
      </c>
      <c r="DV25" s="1"/>
      <c r="DW25" s="1" t="str">
        <f t="shared" ca="1" si="27"/>
        <v/>
      </c>
      <c r="DX25" s="1" t="str">
        <f t="shared" ca="1" si="28"/>
        <v/>
      </c>
      <c r="DY25" s="1"/>
      <c r="DZ25" s="1">
        <f>IF($I25="",0,phi_i($DS$7,$DH$7,$DI$7,AC25,$DY$7,DT25,$DV$7))</f>
        <v>0</v>
      </c>
      <c r="EA25" s="1">
        <f>IF($I25="",0,phi_i($DS$10,$DJ$7,$DK$7,AC25,$DY$10,DU25,$DV$10))</f>
        <v>0</v>
      </c>
      <c r="EB25">
        <f t="shared" si="29"/>
        <v>0</v>
      </c>
      <c r="EC25">
        <f t="shared" si="30"/>
        <v>0</v>
      </c>
      <c r="ED25">
        <f t="shared" si="31"/>
        <v>0</v>
      </c>
      <c r="EE25" s="89"/>
      <c r="EF25" s="86" t="str">
        <f t="shared" si="32"/>
        <v/>
      </c>
      <c r="EH25" t="str">
        <f t="shared" ca="1" si="33"/>
        <v/>
      </c>
      <c r="EI25" t="str">
        <f t="shared" ca="1" si="34"/>
        <v/>
      </c>
      <c r="EV25" s="1" t="str">
        <f>IF($I25="","",psi_i(a_iVal,x_iter4,$G25,Kij_Val,BIPset,$AE$3,COUNTA(Chemicals)))</f>
        <v/>
      </c>
      <c r="EW25" s="1" t="str">
        <f>IF($I25="","",psi_i(a_iVal,y_iter4,$G25,Kij_Val,BIPset,$AE$3,COUNTA(Chemicals)))</f>
        <v/>
      </c>
      <c r="EX25" s="1"/>
      <c r="EY25" s="1" t="str">
        <f t="shared" ca="1" si="35"/>
        <v/>
      </c>
      <c r="EZ25" s="1" t="str">
        <f t="shared" ca="1" si="36"/>
        <v/>
      </c>
      <c r="FA25" s="1"/>
      <c r="FB25" s="1">
        <f>IF($I25="",0,phi_i($EU$7,$EJ$7,$EK$7,AC25,$FA$7,EV25,$EX$7))</f>
        <v>0</v>
      </c>
      <c r="FC25" s="1">
        <f>IF($I25="",0,phi_i($EU$10,$EL$7,$EM$7,AC25,$FA$10,EW25,$EX$10))</f>
        <v>0</v>
      </c>
      <c r="FD25">
        <f t="shared" si="37"/>
        <v>0</v>
      </c>
      <c r="FE25">
        <f t="shared" si="38"/>
        <v>0</v>
      </c>
      <c r="FF25">
        <f t="shared" si="39"/>
        <v>0</v>
      </c>
      <c r="FG25" s="89"/>
      <c r="FH25" s="86" t="str">
        <f t="shared" si="40"/>
        <v/>
      </c>
      <c r="FJ25" t="str">
        <f t="shared" ca="1" si="41"/>
        <v/>
      </c>
      <c r="FK25" t="str">
        <f t="shared" ca="1" si="42"/>
        <v/>
      </c>
      <c r="FX25" s="1" t="str">
        <f>IF($I25="","",psi_i(a_iVal,x_iter5,$G25,Kij_Val,BIPset,$AE$3,COUNTA(Chemicals)))</f>
        <v/>
      </c>
      <c r="FY25" s="1" t="str">
        <f>IF($I25="","",psi_i(a_iVal,y_iter5,$G25,Kij_Val,BIPset,$AE$3,COUNTA(Chemicals)))</f>
        <v/>
      </c>
      <c r="FZ25" s="1"/>
      <c r="GA25" s="1" t="str">
        <f t="shared" ca="1" si="43"/>
        <v/>
      </c>
      <c r="GB25" s="1" t="str">
        <f t="shared" ca="1" si="44"/>
        <v/>
      </c>
      <c r="GC25" s="1"/>
      <c r="GD25" s="1">
        <f>IF($I25="",0,phi_i($FW$7,$FL$7,$FM$7,AC25,$GC$7,FX25,$FZ$7))</f>
        <v>0</v>
      </c>
      <c r="GE25" s="1">
        <f>IF($I25="",0,phi_i($FW$10,$FN$7,$FO$7,AC25,$GC$10,FY25,$FZ$10))</f>
        <v>0</v>
      </c>
      <c r="GF25">
        <f t="shared" si="45"/>
        <v>0</v>
      </c>
      <c r="GG25">
        <f t="shared" si="46"/>
        <v>0</v>
      </c>
      <c r="GH25">
        <f t="shared" si="47"/>
        <v>0</v>
      </c>
      <c r="GI25" s="89"/>
      <c r="GJ25" s="86" t="str">
        <f t="shared" si="48"/>
        <v/>
      </c>
      <c r="GL25" t="str">
        <f t="shared" ca="1" si="49"/>
        <v/>
      </c>
      <c r="GM25" t="str">
        <f t="shared" ca="1" si="50"/>
        <v/>
      </c>
      <c r="GZ25" s="1" t="str">
        <f>IF($I25="","",psi_i(a_iVal,x_iter6,$G25,Kij_Val,BIPset,$AE$3,COUNTA(Chemicals)))</f>
        <v/>
      </c>
      <c r="HA25" s="1" t="str">
        <f>IF($I25="","",psi_i(a_iVal,y_iter6,$G25,Kij_Val,BIPset,$AE$3,COUNTA(Chemicals)))</f>
        <v/>
      </c>
      <c r="HB25" s="1"/>
      <c r="HC25" s="1" t="str">
        <f t="shared" ca="1" si="51"/>
        <v/>
      </c>
      <c r="HD25" s="1" t="str">
        <f t="shared" ca="1" si="52"/>
        <v/>
      </c>
      <c r="HE25" s="1"/>
      <c r="HF25" s="1">
        <f>IF($I25="",0,phi_i($GY$7,$GN$7,$GO$7,AC25,$HE$7,GZ25,$HB$7))</f>
        <v>0</v>
      </c>
      <c r="HG25" s="1">
        <f>IF($I25="",0,phi_i($GY$10,$GP$7,$GQ$7,AC25,$HE$10,HA25,$HB$10))</f>
        <v>0</v>
      </c>
      <c r="HH25">
        <f t="shared" si="53"/>
        <v>0</v>
      </c>
      <c r="HI25">
        <f t="shared" si="54"/>
        <v>0</v>
      </c>
      <c r="HJ25">
        <f t="shared" si="55"/>
        <v>0</v>
      </c>
      <c r="HK25" s="89"/>
      <c r="HL25" s="86" t="str">
        <f t="shared" si="56"/>
        <v/>
      </c>
      <c r="HN25" t="str">
        <f t="shared" ca="1" si="57"/>
        <v/>
      </c>
      <c r="HO25" t="str">
        <f t="shared" ca="1" si="58"/>
        <v/>
      </c>
      <c r="IB25" s="1" t="str">
        <f>IF($I25="","",psi_i(a_iVal,x_iter7,$G25,Kij_Val,BIPset,$AE$3,COUNTA(Chemicals)))</f>
        <v/>
      </c>
      <c r="IC25" s="1" t="str">
        <f>IF($I25="","",psi_i(a_iVal,y_iter7,$G25,Kij_Val,BIPset,$AE$3,COUNTA(Chemicals)))</f>
        <v/>
      </c>
      <c r="ID25" s="1"/>
      <c r="IE25" s="1" t="str">
        <f t="shared" ca="1" si="59"/>
        <v/>
      </c>
      <c r="IF25" s="1" t="str">
        <f t="shared" ca="1" si="60"/>
        <v/>
      </c>
      <c r="IG25" s="1"/>
      <c r="IH25" s="1">
        <f>IF($I25="",0,phi_i($IA$7,$HP$7,$HQ$7,AC25,$IG$7,IB25,$ID$7))</f>
        <v>0</v>
      </c>
      <c r="II25" s="1">
        <f>IF($I25="",0,phi_i($IA$10,$HR$7,$HS$7,AC25,$IG$10,IC25,$ID$10))</f>
        <v>0</v>
      </c>
      <c r="IJ25">
        <f t="shared" si="61"/>
        <v>0</v>
      </c>
      <c r="IK25">
        <f t="shared" si="62"/>
        <v>0</v>
      </c>
      <c r="IL25">
        <f t="shared" si="63"/>
        <v>0</v>
      </c>
      <c r="IM25" s="89"/>
      <c r="IN25" s="86" t="str">
        <f t="shared" si="64"/>
        <v/>
      </c>
      <c r="IP25" t="str">
        <f t="shared" ca="1" si="65"/>
        <v/>
      </c>
      <c r="IQ25" t="str">
        <f t="shared" ca="1" si="66"/>
        <v/>
      </c>
      <c r="JD25" s="1" t="str">
        <f>IF($I25="","",psi_i(a_iVal,x_iter8,$G25,Kij_Val,BIPset,$AE$3,COUNTA(Chemicals)))</f>
        <v/>
      </c>
      <c r="JE25" s="1" t="str">
        <f>IF($I25="","",psi_i(a_iVal,y_iter8,$G25,Kij_Val,BIPset,$AE$3,COUNTA(Chemicals)))</f>
        <v/>
      </c>
      <c r="JF25" s="1"/>
      <c r="JG25" s="1" t="str">
        <f t="shared" ca="1" si="67"/>
        <v/>
      </c>
      <c r="JH25" s="1" t="str">
        <f t="shared" ca="1" si="68"/>
        <v/>
      </c>
      <c r="JI25" s="1"/>
      <c r="JJ25" s="1">
        <f>IF($I25="",0,phi_i($JC$7,$IR$7,$IS$7,AC25,$JI$7,JD25,$JF$7))</f>
        <v>0</v>
      </c>
      <c r="JK25" s="1">
        <f>IF($I25="",0,phi_i($JC$10,$IT$7,$IU$7,AC25,$JI$10,JE25,$JF$10))</f>
        <v>0</v>
      </c>
      <c r="JL25">
        <f t="shared" si="69"/>
        <v>0</v>
      </c>
      <c r="JM25">
        <f t="shared" si="70"/>
        <v>0</v>
      </c>
      <c r="JN25">
        <f t="shared" si="71"/>
        <v>0</v>
      </c>
      <c r="JO25" s="89"/>
    </row>
    <row r="26" spans="1:275">
      <c r="A26" s="132" t="s">
        <v>187</v>
      </c>
      <c r="B26" s="173"/>
      <c r="C26" s="132">
        <f ca="1">JO7</f>
        <v>0</v>
      </c>
      <c r="D26" s="173"/>
      <c r="E26" s="132" t="s">
        <v>185</v>
      </c>
      <c r="F26" s="173"/>
      <c r="H26" s="6" t="str">
        <f>IF(Wilson!B26="","",Wilson!B26)</f>
        <v/>
      </c>
      <c r="I26" s="3" t="str">
        <f>IF(Wilson!C26="","",Wilson!C26)</f>
        <v/>
      </c>
      <c r="J26" s="13"/>
      <c r="K26" s="13"/>
      <c r="L26" s="13"/>
      <c r="M26" s="13"/>
      <c r="N26" s="13"/>
      <c r="O26" s="13"/>
      <c r="P26" s="13"/>
      <c r="Q26" s="13"/>
      <c r="R26" s="13"/>
      <c r="S26" s="13"/>
      <c r="T26" s="13"/>
      <c r="U26" s="13"/>
      <c r="V26" s="13"/>
      <c r="W26" s="13"/>
      <c r="X26" s="1" t="str">
        <f>IF(Wilson!M26="","",Wilson!M26)</f>
        <v/>
      </c>
      <c r="Y26" s="60"/>
      <c r="Z26" s="60"/>
      <c r="AA26" s="60"/>
      <c r="AB26" s="60"/>
      <c r="AC26" s="13"/>
      <c r="AD26" s="74"/>
      <c r="AE26" s="75"/>
      <c r="AF26" s="75"/>
      <c r="AG26" s="75"/>
      <c r="AP26" s="1" t="str">
        <f>IF(I26="","",psi_i(a_iVal,x_iVal,G26,Kij_Val,BIPset,$AE$3,COUNTA(Chemicals)))</f>
        <v/>
      </c>
      <c r="AQ26" s="1" t="str">
        <f>IF(I26="","",psi_i(a_iVal,y_iVal, G26,Kij_Val,BIPset,$AE$3,COUNTA(Chemicals)))</f>
        <v/>
      </c>
      <c r="AR26" s="1"/>
      <c r="AS26" s="1" t="str">
        <f t="shared" si="6"/>
        <v/>
      </c>
      <c r="AT26" s="1">
        <f t="shared" si="7"/>
        <v>0</v>
      </c>
      <c r="AU26" s="1"/>
      <c r="AV26" s="1"/>
      <c r="AW26" s="1"/>
      <c r="AX26" s="1"/>
      <c r="BP26" s="1" t="str">
        <f>IF(I26="","",psi_i(a_iVal,x_iter1,G26,Kij_Val,BIPset,$AE$3,COUNTA(Chemicals)))</f>
        <v/>
      </c>
      <c r="BQ26" s="1" t="str">
        <f>IF(I26="","",psi_i(a_iVal,y_iter1,G26,Kij_Val,BIPset,$AE$3,COUNTA(Chemicals)))</f>
        <v/>
      </c>
      <c r="BR26" s="1"/>
      <c r="BS26" s="1">
        <f t="shared" si="11"/>
        <v>0</v>
      </c>
      <c r="BT26" s="1">
        <f t="shared" si="12"/>
        <v>0</v>
      </c>
      <c r="BU26" s="1"/>
      <c r="BV26" s="1">
        <f>IF(I26="",0,phi_i($BO$7,$BD$7,$BE$7,AC26,$BU$7,BP26,$BR$7))</f>
        <v>0</v>
      </c>
      <c r="BW26" s="1">
        <f>IF(I26="",0,phi_i($BO$10,$BF$7,$BG$7,AC26,$BU$10,BQ26,$BR$10))</f>
        <v>0</v>
      </c>
      <c r="BX26">
        <f t="shared" si="13"/>
        <v>0</v>
      </c>
      <c r="BY26">
        <f t="shared" si="14"/>
        <v>0</v>
      </c>
      <c r="BZ26">
        <f t="shared" si="15"/>
        <v>0</v>
      </c>
      <c r="CA26" s="89"/>
      <c r="CB26" s="86" t="str">
        <f t="shared" si="16"/>
        <v/>
      </c>
      <c r="CD26" t="str">
        <f t="shared" ca="1" si="17"/>
        <v/>
      </c>
      <c r="CE26" t="str">
        <f t="shared" ca="1" si="18"/>
        <v/>
      </c>
      <c r="CR26" s="1" t="str">
        <f>IF($I26="","",psi_i(a_iVal,x_iter2,$G26,Kij_Val,BIPset,$AE$3,COUNTA(Chemicals)))</f>
        <v/>
      </c>
      <c r="CS26" s="1" t="str">
        <f>IF($I26="","",psi_i(a_iVal,y_iter2,$G26,Kij_Val,BIPset,$AE$3,COUNTA(Chemicals)))</f>
        <v/>
      </c>
      <c r="CT26" s="1"/>
      <c r="CU26" s="1" t="str">
        <f t="shared" ca="1" si="19"/>
        <v/>
      </c>
      <c r="CV26" s="1" t="str">
        <f t="shared" ca="1" si="20"/>
        <v/>
      </c>
      <c r="CW26" s="1"/>
      <c r="CX26" s="1">
        <f>IF($I26="",0,phi_i($CQ$7,$CF$7,$CG$7,AC26,$CW$7,CR26,$CT$7))</f>
        <v>0</v>
      </c>
      <c r="CY26" s="1">
        <f>IF($I26="",0,phi_i($CQ$10,$CH$7,$CI$7,AC26,$CW$10,CS26,$CT$10))</f>
        <v>0</v>
      </c>
      <c r="CZ26">
        <f t="shared" si="21"/>
        <v>0</v>
      </c>
      <c r="DA26">
        <f t="shared" si="22"/>
        <v>0</v>
      </c>
      <c r="DB26">
        <f t="shared" si="23"/>
        <v>0</v>
      </c>
      <c r="DC26" s="89"/>
      <c r="DD26" s="86" t="str">
        <f t="shared" si="24"/>
        <v/>
      </c>
      <c r="DF26" t="str">
        <f t="shared" ca="1" si="25"/>
        <v/>
      </c>
      <c r="DG26" t="str">
        <f t="shared" ca="1" si="26"/>
        <v/>
      </c>
      <c r="DT26" s="1" t="str">
        <f>IF($I26="","",psi_i(a_iVal,x_iter3,$G26,Kij_Val,BIPset,$AE$3,COUNTA(Chemicals)))</f>
        <v/>
      </c>
      <c r="DU26" s="1" t="str">
        <f>IF($I26="","",psi_i(a_iVal,y_iter3,$G26,Kij_Val,BIPset,$AE$3,COUNTA(Chemicals)))</f>
        <v/>
      </c>
      <c r="DV26" s="1"/>
      <c r="DW26" s="1" t="str">
        <f t="shared" ca="1" si="27"/>
        <v/>
      </c>
      <c r="DX26" s="1" t="str">
        <f t="shared" ca="1" si="28"/>
        <v/>
      </c>
      <c r="DY26" s="1"/>
      <c r="DZ26" s="1">
        <f>IF($I26="",0,phi_i($DS$7,$DH$7,$DI$7,AC26,$DY$7,DT26,$DV$7))</f>
        <v>0</v>
      </c>
      <c r="EA26" s="1">
        <f>IF($I26="",0,phi_i($DS$10,$DJ$7,$DK$7,AC26,$DY$10,DU26,$DV$10))</f>
        <v>0</v>
      </c>
      <c r="EB26">
        <f t="shared" si="29"/>
        <v>0</v>
      </c>
      <c r="EC26">
        <f t="shared" si="30"/>
        <v>0</v>
      </c>
      <c r="ED26">
        <f t="shared" si="31"/>
        <v>0</v>
      </c>
      <c r="EE26" s="89"/>
      <c r="EF26" s="86" t="str">
        <f t="shared" si="32"/>
        <v/>
      </c>
      <c r="EH26" t="str">
        <f t="shared" ca="1" si="33"/>
        <v/>
      </c>
      <c r="EI26" t="str">
        <f t="shared" ca="1" si="34"/>
        <v/>
      </c>
      <c r="EV26" s="1" t="str">
        <f>IF($I26="","",psi_i(a_iVal,x_iter4,$G26,Kij_Val,BIPset,$AE$3,COUNTA(Chemicals)))</f>
        <v/>
      </c>
      <c r="EW26" s="1" t="str">
        <f>IF($I26="","",psi_i(a_iVal,y_iter4,$G26,Kij_Val,BIPset,$AE$3,COUNTA(Chemicals)))</f>
        <v/>
      </c>
      <c r="EX26" s="1"/>
      <c r="EY26" s="1" t="str">
        <f t="shared" ca="1" si="35"/>
        <v/>
      </c>
      <c r="EZ26" s="1" t="str">
        <f t="shared" ca="1" si="36"/>
        <v/>
      </c>
      <c r="FA26" s="1"/>
      <c r="FB26" s="1">
        <f>IF($I26="",0,phi_i($EU$7,$EJ$7,$EK$7,AC26,$FA$7,EV26,$EX$7))</f>
        <v>0</v>
      </c>
      <c r="FC26" s="1">
        <f>IF($I26="",0,phi_i($EU$10,$EL$7,$EM$7,AC26,$FA$10,EW26,$EX$10))</f>
        <v>0</v>
      </c>
      <c r="FD26">
        <f t="shared" si="37"/>
        <v>0</v>
      </c>
      <c r="FE26">
        <f t="shared" si="38"/>
        <v>0</v>
      </c>
      <c r="FF26">
        <f t="shared" si="39"/>
        <v>0</v>
      </c>
      <c r="FG26" s="89"/>
      <c r="FH26" s="86" t="str">
        <f t="shared" si="40"/>
        <v/>
      </c>
      <c r="FJ26" t="str">
        <f t="shared" ca="1" si="41"/>
        <v/>
      </c>
      <c r="FK26" t="str">
        <f t="shared" ca="1" si="42"/>
        <v/>
      </c>
      <c r="FX26" s="1" t="str">
        <f>IF($I26="","",psi_i(a_iVal,x_iter5,$G26,Kij_Val,BIPset,$AE$3,COUNTA(Chemicals)))</f>
        <v/>
      </c>
      <c r="FY26" s="1" t="str">
        <f>IF($I26="","",psi_i(a_iVal,y_iter5,$G26,Kij_Val,BIPset,$AE$3,COUNTA(Chemicals)))</f>
        <v/>
      </c>
      <c r="FZ26" s="1"/>
      <c r="GA26" s="1" t="str">
        <f t="shared" ca="1" si="43"/>
        <v/>
      </c>
      <c r="GB26" s="1" t="str">
        <f t="shared" ca="1" si="44"/>
        <v/>
      </c>
      <c r="GC26" s="1"/>
      <c r="GD26" s="1">
        <f>IF($I26="",0,phi_i($FW$7,$FL$7,$FM$7,AC26,$GC$7,FX26,$FZ$7))</f>
        <v>0</v>
      </c>
      <c r="GE26" s="1">
        <f>IF($I26="",0,phi_i($FW$10,$FN$7,$FO$7,AC26,$GC$10,FY26,$FZ$10))</f>
        <v>0</v>
      </c>
      <c r="GF26">
        <f t="shared" si="45"/>
        <v>0</v>
      </c>
      <c r="GG26">
        <f t="shared" si="46"/>
        <v>0</v>
      </c>
      <c r="GH26">
        <f t="shared" si="47"/>
        <v>0</v>
      </c>
      <c r="GI26" s="89"/>
      <c r="GJ26" s="86" t="str">
        <f t="shared" si="48"/>
        <v/>
      </c>
      <c r="GL26" t="str">
        <f t="shared" ca="1" si="49"/>
        <v/>
      </c>
      <c r="GM26" t="str">
        <f t="shared" ca="1" si="50"/>
        <v/>
      </c>
      <c r="GZ26" s="1" t="str">
        <f>IF($I26="","",psi_i(a_iVal,x_iter6,$G26,Kij_Val,BIPset,$AE$3,COUNTA(Chemicals)))</f>
        <v/>
      </c>
      <c r="HA26" s="1" t="str">
        <f>IF($I26="","",psi_i(a_iVal,y_iter6,$G26,Kij_Val,BIPset,$AE$3,COUNTA(Chemicals)))</f>
        <v/>
      </c>
      <c r="HB26" s="1"/>
      <c r="HC26" s="1" t="str">
        <f t="shared" ca="1" si="51"/>
        <v/>
      </c>
      <c r="HD26" s="1" t="str">
        <f t="shared" ca="1" si="52"/>
        <v/>
      </c>
      <c r="HE26" s="1"/>
      <c r="HF26" s="1">
        <f>IF($I26="",0,phi_i($GY$7,$GN$7,$GO$7,AC26,$HE$7,GZ26,$HB$7))</f>
        <v>0</v>
      </c>
      <c r="HG26" s="1">
        <f>IF($I26="",0,phi_i($GY$10,$GP$7,$GQ$7,AC26,$HE$10,HA26,$HB$10))</f>
        <v>0</v>
      </c>
      <c r="HH26">
        <f t="shared" si="53"/>
        <v>0</v>
      </c>
      <c r="HI26">
        <f t="shared" si="54"/>
        <v>0</v>
      </c>
      <c r="HJ26">
        <f t="shared" si="55"/>
        <v>0</v>
      </c>
      <c r="HK26" s="89"/>
      <c r="HL26" s="86" t="str">
        <f t="shared" si="56"/>
        <v/>
      </c>
      <c r="HN26" t="str">
        <f t="shared" ca="1" si="57"/>
        <v/>
      </c>
      <c r="HO26" t="str">
        <f t="shared" ca="1" si="58"/>
        <v/>
      </c>
      <c r="IB26" s="1" t="str">
        <f>IF($I26="","",psi_i(a_iVal,x_iter7,$G26,Kij_Val,BIPset,$AE$3,COUNTA(Chemicals)))</f>
        <v/>
      </c>
      <c r="IC26" s="1" t="str">
        <f>IF($I26="","",psi_i(a_iVal,y_iter7,$G26,Kij_Val,BIPset,$AE$3,COUNTA(Chemicals)))</f>
        <v/>
      </c>
      <c r="ID26" s="1"/>
      <c r="IE26" s="1" t="str">
        <f t="shared" ca="1" si="59"/>
        <v/>
      </c>
      <c r="IF26" s="1" t="str">
        <f t="shared" ca="1" si="60"/>
        <v/>
      </c>
      <c r="IG26" s="1"/>
      <c r="IH26" s="1">
        <f>IF($I26="",0,phi_i($IA$7,$HP$7,$HQ$7,AC26,$IG$7,IB26,$ID$7))</f>
        <v>0</v>
      </c>
      <c r="II26" s="1">
        <f>IF($I26="",0,phi_i($IA$10,$HR$7,$HS$7,AC26,$IG$10,IC26,$ID$10))</f>
        <v>0</v>
      </c>
      <c r="IJ26">
        <f t="shared" si="61"/>
        <v>0</v>
      </c>
      <c r="IK26">
        <f t="shared" si="62"/>
        <v>0</v>
      </c>
      <c r="IL26">
        <f t="shared" si="63"/>
        <v>0</v>
      </c>
      <c r="IM26" s="89"/>
      <c r="IN26" s="86" t="str">
        <f t="shared" si="64"/>
        <v/>
      </c>
      <c r="IP26" t="str">
        <f t="shared" ca="1" si="65"/>
        <v/>
      </c>
      <c r="IQ26" t="str">
        <f t="shared" ca="1" si="66"/>
        <v/>
      </c>
      <c r="JD26" s="1" t="str">
        <f>IF($I26="","",psi_i(a_iVal,x_iter8,$G26,Kij_Val,BIPset,$AE$3,COUNTA(Chemicals)))</f>
        <v/>
      </c>
      <c r="JE26" s="1" t="str">
        <f>IF($I26="","",psi_i(a_iVal,y_iter8,$G26,Kij_Val,BIPset,$AE$3,COUNTA(Chemicals)))</f>
        <v/>
      </c>
      <c r="JF26" s="1"/>
      <c r="JG26" s="1" t="str">
        <f t="shared" ca="1" si="67"/>
        <v/>
      </c>
      <c r="JH26" s="1" t="str">
        <f t="shared" ca="1" si="68"/>
        <v/>
      </c>
      <c r="JI26" s="1"/>
      <c r="JJ26" s="1">
        <f>IF($I26="",0,phi_i($JC$7,$IR$7,$IS$7,AC26,$JI$7,JD26,$JF$7))</f>
        <v>0</v>
      </c>
      <c r="JK26" s="1">
        <f>IF($I26="",0,phi_i($JC$10,$IT$7,$IU$7,AC26,$JI$10,JE26,$JF$10))</f>
        <v>0</v>
      </c>
      <c r="JL26">
        <f t="shared" si="69"/>
        <v>0</v>
      </c>
      <c r="JM26">
        <f t="shared" si="70"/>
        <v>0</v>
      </c>
      <c r="JN26">
        <f t="shared" si="71"/>
        <v>0</v>
      </c>
      <c r="JO26" s="89"/>
    </row>
    <row r="27" spans="1:275">
      <c r="A27" s="132" t="s">
        <v>188</v>
      </c>
      <c r="B27" s="173"/>
      <c r="C27" s="132"/>
      <c r="D27" s="173"/>
      <c r="E27" s="132" t="s">
        <v>189</v>
      </c>
      <c r="F27" s="173"/>
      <c r="H27" s="6" t="str">
        <f>IF(Wilson!B27="","",Wilson!B27)</f>
        <v/>
      </c>
      <c r="I27" s="3" t="str">
        <f>IF(Wilson!C27="","",Wilson!C27)</f>
        <v/>
      </c>
      <c r="J27" s="13"/>
      <c r="K27" s="13"/>
      <c r="L27" s="13"/>
      <c r="M27" s="13"/>
      <c r="N27" s="13"/>
      <c r="O27" s="13"/>
      <c r="P27" s="13"/>
      <c r="Q27" s="13"/>
      <c r="R27" s="13"/>
      <c r="S27" s="13"/>
      <c r="T27" s="13"/>
      <c r="U27" s="13"/>
      <c r="V27" s="13"/>
      <c r="W27" s="13"/>
      <c r="X27" s="1" t="str">
        <f>IF(Wilson!M27="","",Wilson!M27)</f>
        <v/>
      </c>
      <c r="Y27" s="13"/>
      <c r="Z27" s="13"/>
      <c r="AA27" s="13"/>
      <c r="AB27" s="13"/>
      <c r="AC27" s="13"/>
      <c r="AD27" s="74"/>
      <c r="AE27" s="75"/>
      <c r="AF27" s="75"/>
      <c r="AG27" s="75"/>
      <c r="AP27" s="1" t="str">
        <f>IF(I27="","",psi_i(a_iVal,x_iVal,G27,Kij_Val,BIPset,$AE$3,COUNTA(Chemicals)))</f>
        <v/>
      </c>
      <c r="AQ27" s="1" t="str">
        <f>IF(I27="","",psi_i(a_iVal,y_iVal, G27,Kij_Val,BIPset,$AE$3,COUNTA(Chemicals)))</f>
        <v/>
      </c>
      <c r="AR27" s="1"/>
      <c r="AS27" s="1" t="str">
        <f t="shared" si="6"/>
        <v/>
      </c>
      <c r="AT27" s="1">
        <f t="shared" si="7"/>
        <v>0</v>
      </c>
      <c r="AU27" s="1"/>
      <c r="AV27" s="1"/>
      <c r="AW27" s="1"/>
      <c r="AX27" s="1"/>
      <c r="BP27" s="1" t="str">
        <f>IF(I27="","",psi_i(a_iVal,x_iter1,G27,Kij_Val,BIPset,$AE$3,COUNTA(Chemicals)))</f>
        <v/>
      </c>
      <c r="BQ27" s="1" t="str">
        <f>IF(I27="","",psi_i(a_iVal,y_iter1,G27,Kij_Val,BIPset,$AE$3,COUNTA(Chemicals)))</f>
        <v/>
      </c>
      <c r="BR27" s="1"/>
      <c r="BS27" s="1">
        <f t="shared" si="11"/>
        <v>0</v>
      </c>
      <c r="BT27" s="1">
        <f t="shared" si="12"/>
        <v>0</v>
      </c>
      <c r="BU27" s="1"/>
      <c r="BV27" s="1">
        <f>IF(I27="",0,phi_i($BO$7,$BD$7,$BE$7,AC27,$BU$7,BP27,$BR$7))</f>
        <v>0</v>
      </c>
      <c r="BW27" s="1">
        <f>IF(I27="",0,phi_i($BO$10,$BF$7,$BG$7,AC27,$BU$10,BQ27,$BR$10))</f>
        <v>0</v>
      </c>
      <c r="BX27">
        <f t="shared" si="13"/>
        <v>0</v>
      </c>
      <c r="BY27">
        <f t="shared" si="14"/>
        <v>0</v>
      </c>
      <c r="BZ27">
        <f t="shared" si="15"/>
        <v>0</v>
      </c>
      <c r="CA27" s="89"/>
      <c r="CB27" s="86" t="str">
        <f t="shared" si="16"/>
        <v/>
      </c>
      <c r="CD27" t="str">
        <f t="shared" ca="1" si="17"/>
        <v/>
      </c>
      <c r="CE27" t="str">
        <f t="shared" ca="1" si="18"/>
        <v/>
      </c>
      <c r="CR27" s="1" t="str">
        <f>IF($I27="","",psi_i(a_iVal,x_iter2,$G27,Kij_Val,BIPset,$AE$3,COUNTA(Chemicals)))</f>
        <v/>
      </c>
      <c r="CS27" s="1" t="str">
        <f>IF($I27="","",psi_i(a_iVal,y_iter2,$G27,Kij_Val,BIPset,$AE$3,COUNTA(Chemicals)))</f>
        <v/>
      </c>
      <c r="CT27" s="1"/>
      <c r="CU27" s="1" t="str">
        <f t="shared" ca="1" si="19"/>
        <v/>
      </c>
      <c r="CV27" s="1" t="str">
        <f t="shared" ca="1" si="20"/>
        <v/>
      </c>
      <c r="CW27" s="1"/>
      <c r="CX27" s="1">
        <f>IF($I27="",0,phi_i($CQ$7,$CF$7,$CG$7,AC27,$CW$7,CR27,$CT$7))</f>
        <v>0</v>
      </c>
      <c r="CY27" s="1">
        <f>IF($I27="",0,phi_i($CQ$10,$CH$7,$CI$7,AC27,$CW$10,CS27,$CT$10))</f>
        <v>0</v>
      </c>
      <c r="CZ27">
        <f t="shared" si="21"/>
        <v>0</v>
      </c>
      <c r="DA27">
        <f t="shared" si="22"/>
        <v>0</v>
      </c>
      <c r="DB27">
        <f t="shared" si="23"/>
        <v>0</v>
      </c>
      <c r="DC27" s="89"/>
      <c r="DD27" s="86" t="str">
        <f t="shared" si="24"/>
        <v/>
      </c>
      <c r="DF27" t="str">
        <f t="shared" ca="1" si="25"/>
        <v/>
      </c>
      <c r="DG27" t="str">
        <f t="shared" ca="1" si="26"/>
        <v/>
      </c>
      <c r="DT27" s="1" t="str">
        <f>IF($I27="","",psi_i(a_iVal,x_iter3,$G27,Kij_Val,BIPset,$AE$3,COUNTA(Chemicals)))</f>
        <v/>
      </c>
      <c r="DU27" s="1" t="str">
        <f>IF($I27="","",psi_i(a_iVal,y_iter3,$G27,Kij_Val,BIPset,$AE$3,COUNTA(Chemicals)))</f>
        <v/>
      </c>
      <c r="DV27" s="1"/>
      <c r="DW27" s="1" t="str">
        <f t="shared" ca="1" si="27"/>
        <v/>
      </c>
      <c r="DX27" s="1" t="str">
        <f t="shared" ca="1" si="28"/>
        <v/>
      </c>
      <c r="DY27" s="1"/>
      <c r="DZ27" s="1">
        <f>IF($I27="",0,phi_i($DS$7,$DH$7,$DI$7,AC27,$DY$7,DT27,$DV$7))</f>
        <v>0</v>
      </c>
      <c r="EA27" s="1">
        <f>IF($I27="",0,phi_i($DS$10,$DJ$7,$DK$7,AC27,$DY$10,DU27,$DV$10))</f>
        <v>0</v>
      </c>
      <c r="EB27">
        <f t="shared" si="29"/>
        <v>0</v>
      </c>
      <c r="EC27">
        <f t="shared" si="30"/>
        <v>0</v>
      </c>
      <c r="ED27">
        <f t="shared" si="31"/>
        <v>0</v>
      </c>
      <c r="EE27" s="89"/>
      <c r="EF27" s="86" t="str">
        <f t="shared" si="32"/>
        <v/>
      </c>
      <c r="EH27" t="str">
        <f t="shared" ca="1" si="33"/>
        <v/>
      </c>
      <c r="EI27" t="str">
        <f t="shared" ca="1" si="34"/>
        <v/>
      </c>
      <c r="EV27" s="1" t="str">
        <f>IF($I27="","",psi_i(a_iVal,x_iter4,$G27,Kij_Val,BIPset,$AE$3,COUNTA(Chemicals)))</f>
        <v/>
      </c>
      <c r="EW27" s="1" t="str">
        <f>IF($I27="","",psi_i(a_iVal,y_iter4,$G27,Kij_Val,BIPset,$AE$3,COUNTA(Chemicals)))</f>
        <v/>
      </c>
      <c r="EX27" s="1"/>
      <c r="EY27" s="1" t="str">
        <f t="shared" ca="1" si="35"/>
        <v/>
      </c>
      <c r="EZ27" s="1" t="str">
        <f t="shared" ca="1" si="36"/>
        <v/>
      </c>
      <c r="FA27" s="1"/>
      <c r="FB27" s="1">
        <f>IF($I27="",0,phi_i($EU$7,$EJ$7,$EK$7,AC27,$FA$7,EV27,$EX$7))</f>
        <v>0</v>
      </c>
      <c r="FC27" s="1">
        <f>IF($I27="",0,phi_i($EU$10,$EL$7,$EM$7,AC27,$FA$10,EW27,$EX$10))</f>
        <v>0</v>
      </c>
      <c r="FD27">
        <f t="shared" si="37"/>
        <v>0</v>
      </c>
      <c r="FE27">
        <f t="shared" si="38"/>
        <v>0</v>
      </c>
      <c r="FF27">
        <f t="shared" si="39"/>
        <v>0</v>
      </c>
      <c r="FG27" s="89"/>
      <c r="FH27" s="86" t="str">
        <f t="shared" si="40"/>
        <v/>
      </c>
      <c r="FJ27" t="str">
        <f t="shared" ca="1" si="41"/>
        <v/>
      </c>
      <c r="FK27" t="str">
        <f t="shared" ca="1" si="42"/>
        <v/>
      </c>
      <c r="FX27" s="1" t="str">
        <f>IF($I27="","",psi_i(a_iVal,x_iter5,$G27,Kij_Val,BIPset,$AE$3,COUNTA(Chemicals)))</f>
        <v/>
      </c>
      <c r="FY27" s="1" t="str">
        <f>IF($I27="","",psi_i(a_iVal,y_iter5,$G27,Kij_Val,BIPset,$AE$3,COUNTA(Chemicals)))</f>
        <v/>
      </c>
      <c r="FZ27" s="1"/>
      <c r="GA27" s="1" t="str">
        <f t="shared" ca="1" si="43"/>
        <v/>
      </c>
      <c r="GB27" s="1" t="str">
        <f t="shared" ca="1" si="44"/>
        <v/>
      </c>
      <c r="GC27" s="1"/>
      <c r="GD27" s="1">
        <f>IF($I27="",0,phi_i($FW$7,$FL$7,$FM$7,AC27,$GC$7,FX27,$FZ$7))</f>
        <v>0</v>
      </c>
      <c r="GE27" s="1">
        <f>IF($I27="",0,phi_i($FW$10,$FN$7,$FO$7,AC27,$GC$10,FY27,$FZ$10))</f>
        <v>0</v>
      </c>
      <c r="GF27">
        <f t="shared" si="45"/>
        <v>0</v>
      </c>
      <c r="GG27">
        <f t="shared" si="46"/>
        <v>0</v>
      </c>
      <c r="GH27">
        <f t="shared" si="47"/>
        <v>0</v>
      </c>
      <c r="GI27" s="89"/>
      <c r="GJ27" s="86" t="str">
        <f t="shared" si="48"/>
        <v/>
      </c>
      <c r="GL27" t="str">
        <f t="shared" ca="1" si="49"/>
        <v/>
      </c>
      <c r="GM27" t="str">
        <f t="shared" ca="1" si="50"/>
        <v/>
      </c>
      <c r="GZ27" s="1" t="str">
        <f>IF($I27="","",psi_i(a_iVal,x_iter6,$G27,Kij_Val,BIPset,$AE$3,COUNTA(Chemicals)))</f>
        <v/>
      </c>
      <c r="HA27" s="1" t="str">
        <f>IF($I27="","",psi_i(a_iVal,y_iter6,$G27,Kij_Val,BIPset,$AE$3,COUNTA(Chemicals)))</f>
        <v/>
      </c>
      <c r="HB27" s="1"/>
      <c r="HC27" s="1" t="str">
        <f t="shared" ca="1" si="51"/>
        <v/>
      </c>
      <c r="HD27" s="1" t="str">
        <f t="shared" ca="1" si="52"/>
        <v/>
      </c>
      <c r="HE27" s="1"/>
      <c r="HF27" s="1">
        <f>IF($I27="",0,phi_i($GY$7,$GN$7,$GO$7,AC27,$HE$7,GZ27,$HB$7))</f>
        <v>0</v>
      </c>
      <c r="HG27" s="1">
        <f>IF($I27="",0,phi_i($GY$10,$GP$7,$GQ$7,AC27,$HE$10,HA27,$HB$10))</f>
        <v>0</v>
      </c>
      <c r="HH27">
        <f t="shared" si="53"/>
        <v>0</v>
      </c>
      <c r="HI27">
        <f t="shared" si="54"/>
        <v>0</v>
      </c>
      <c r="HJ27">
        <f t="shared" si="55"/>
        <v>0</v>
      </c>
      <c r="HK27" s="89"/>
      <c r="HL27" s="86" t="str">
        <f t="shared" si="56"/>
        <v/>
      </c>
      <c r="HN27" t="str">
        <f t="shared" ca="1" si="57"/>
        <v/>
      </c>
      <c r="HO27" t="str">
        <f t="shared" ca="1" si="58"/>
        <v/>
      </c>
      <c r="IB27" s="1" t="str">
        <f>IF($I27="","",psi_i(a_iVal,x_iter7,$G27,Kij_Val,BIPset,$AE$3,COUNTA(Chemicals)))</f>
        <v/>
      </c>
      <c r="IC27" s="1" t="str">
        <f>IF($I27="","",psi_i(a_iVal,y_iter7,$G27,Kij_Val,BIPset,$AE$3,COUNTA(Chemicals)))</f>
        <v/>
      </c>
      <c r="ID27" s="1"/>
      <c r="IE27" s="1" t="str">
        <f t="shared" ca="1" si="59"/>
        <v/>
      </c>
      <c r="IF27" s="1" t="str">
        <f t="shared" ca="1" si="60"/>
        <v/>
      </c>
      <c r="IG27" s="1"/>
      <c r="IH27" s="1">
        <f>IF($I27="",0,phi_i($IA$7,$HP$7,$HQ$7,AC27,$IG$7,IB27,$ID$7))</f>
        <v>0</v>
      </c>
      <c r="II27" s="1">
        <f>IF($I27="",0,phi_i($IA$10,$HR$7,$HS$7,AC27,$IG$10,IC27,$ID$10))</f>
        <v>0</v>
      </c>
      <c r="IJ27">
        <f t="shared" si="61"/>
        <v>0</v>
      </c>
      <c r="IK27">
        <f t="shared" si="62"/>
        <v>0</v>
      </c>
      <c r="IL27">
        <f t="shared" si="63"/>
        <v>0</v>
      </c>
      <c r="IM27" s="89"/>
      <c r="IN27" s="86" t="str">
        <f t="shared" si="64"/>
        <v/>
      </c>
      <c r="IP27" t="str">
        <f t="shared" ca="1" si="65"/>
        <v/>
      </c>
      <c r="IQ27" t="str">
        <f t="shared" ca="1" si="66"/>
        <v/>
      </c>
      <c r="JD27" s="1" t="str">
        <f>IF($I27="","",psi_i(a_iVal,x_iter8,$G27,Kij_Val,BIPset,$AE$3,COUNTA(Chemicals)))</f>
        <v/>
      </c>
      <c r="JE27" s="1" t="str">
        <f>IF($I27="","",psi_i(a_iVal,y_iter8,$G27,Kij_Val,BIPset,$AE$3,COUNTA(Chemicals)))</f>
        <v/>
      </c>
      <c r="JF27" s="1"/>
      <c r="JG27" s="1" t="str">
        <f t="shared" ca="1" si="67"/>
        <v/>
      </c>
      <c r="JH27" s="1" t="str">
        <f t="shared" ca="1" si="68"/>
        <v/>
      </c>
      <c r="JI27" s="1"/>
      <c r="JJ27" s="1">
        <f>IF($I27="",0,phi_i($JC$7,$IR$7,$IS$7,AC27,$JI$7,JD27,$JF$7))</f>
        <v>0</v>
      </c>
      <c r="JK27" s="1">
        <f>IF($I27="",0,phi_i($JC$10,$IT$7,$IU$7,AC27,$JI$10,JE27,$JF$10))</f>
        <v>0</v>
      </c>
      <c r="JL27">
        <f t="shared" si="69"/>
        <v>0</v>
      </c>
      <c r="JM27">
        <f t="shared" si="70"/>
        <v>0</v>
      </c>
      <c r="JN27">
        <f t="shared" si="71"/>
        <v>0</v>
      </c>
      <c r="JO27" s="89"/>
    </row>
    <row r="28" spans="1:275">
      <c r="A28" s="132"/>
      <c r="B28" s="173"/>
      <c r="C28" s="132"/>
      <c r="D28" s="173"/>
      <c r="E28" s="132"/>
      <c r="F28" s="173"/>
      <c r="H28" s="6" t="str">
        <f>IF(Wilson!B28="","",Wilson!B28)</f>
        <v/>
      </c>
      <c r="I28" s="3" t="str">
        <f>IF(Wilson!C28="","",Wilson!C28)</f>
        <v/>
      </c>
      <c r="J28" s="13"/>
      <c r="K28" s="13"/>
      <c r="L28" s="13"/>
      <c r="M28" s="13"/>
      <c r="N28" s="13"/>
      <c r="O28" s="13"/>
      <c r="P28" s="13"/>
      <c r="Q28" s="13"/>
      <c r="R28" s="13"/>
      <c r="S28" s="13"/>
      <c r="T28" s="13"/>
      <c r="U28" s="13"/>
      <c r="V28" s="13"/>
      <c r="W28" s="13"/>
      <c r="X28" s="1" t="str">
        <f>IF(Wilson!M28="","",Wilson!M28)</f>
        <v/>
      </c>
      <c r="Y28" s="13"/>
      <c r="Z28" s="13"/>
      <c r="AA28" s="13"/>
      <c r="AB28" s="13"/>
      <c r="AC28" s="13"/>
      <c r="AD28" s="74"/>
      <c r="AE28" s="75"/>
      <c r="AF28" s="75"/>
      <c r="AG28" s="75"/>
      <c r="AP28" s="1" t="str">
        <f>IF(I28="","",psi_i(a_iVal,x_iVal,G28,Kij_Val,BIPset,$AE$3,COUNTA(Chemicals)))</f>
        <v/>
      </c>
      <c r="AQ28" s="1" t="str">
        <f>IF(I28="","",psi_i(a_iVal,y_iVal, G28,Kij_Val,BIPset,$AE$3,COUNTA(Chemicals)))</f>
        <v/>
      </c>
      <c r="AR28" s="1"/>
      <c r="AS28" s="1" t="str">
        <f t="shared" si="6"/>
        <v/>
      </c>
      <c r="AT28" s="1">
        <f t="shared" si="7"/>
        <v>0</v>
      </c>
      <c r="AU28" s="1"/>
      <c r="AV28" s="1"/>
      <c r="AW28" s="1"/>
      <c r="AX28" s="1"/>
      <c r="BP28" s="1" t="str">
        <f>IF(I28="","",psi_i(a_iVal,x_iter1,G28,Kij_Val,BIPset,$AE$3,COUNTA(Chemicals)))</f>
        <v/>
      </c>
      <c r="BQ28" s="1" t="str">
        <f>IF(I28="","",psi_i(a_iVal,y_iter1,G28,Kij_Val,BIPset,$AE$3,COUNTA(Chemicals)))</f>
        <v/>
      </c>
      <c r="BR28" s="1"/>
      <c r="BS28" s="1">
        <f t="shared" si="11"/>
        <v>0</v>
      </c>
      <c r="BT28" s="1">
        <f t="shared" si="12"/>
        <v>0</v>
      </c>
      <c r="BU28" s="1"/>
      <c r="BV28" s="1">
        <f>IF(I28="",0,phi_i($BO$7,$BD$7,$BE$7,AC28,$BU$7,BP28,$BR$7))</f>
        <v>0</v>
      </c>
      <c r="BW28" s="1">
        <f>IF(I28="",0,phi_i($BO$10,$BF$7,$BG$7,AC28,$BU$10,BQ28,$BR$10))</f>
        <v>0</v>
      </c>
      <c r="BX28">
        <f t="shared" si="13"/>
        <v>0</v>
      </c>
      <c r="BY28">
        <f t="shared" si="14"/>
        <v>0</v>
      </c>
      <c r="BZ28">
        <f t="shared" si="15"/>
        <v>0</v>
      </c>
      <c r="CA28" s="89"/>
      <c r="CB28" s="86" t="str">
        <f t="shared" si="16"/>
        <v/>
      </c>
      <c r="CD28" t="str">
        <f t="shared" ca="1" si="17"/>
        <v/>
      </c>
      <c r="CE28" t="str">
        <f t="shared" ca="1" si="18"/>
        <v/>
      </c>
      <c r="CR28" s="1" t="str">
        <f>IF($I28="","",psi_i(a_iVal,x_iter2,$G28,Kij_Val,BIPset,$AE$3,COUNTA(Chemicals)))</f>
        <v/>
      </c>
      <c r="CS28" s="1" t="str">
        <f>IF($I28="","",psi_i(a_iVal,y_iter2,$G28,Kij_Val,BIPset,$AE$3,COUNTA(Chemicals)))</f>
        <v/>
      </c>
      <c r="CT28" s="1"/>
      <c r="CU28" s="1" t="str">
        <f t="shared" ca="1" si="19"/>
        <v/>
      </c>
      <c r="CV28" s="1" t="str">
        <f t="shared" ca="1" si="20"/>
        <v/>
      </c>
      <c r="CW28" s="1"/>
      <c r="CX28" s="1">
        <f>IF($I28="",0,phi_i($CQ$7,$CF$7,$CG$7,AC28,$CW$7,CR28,$CT$7))</f>
        <v>0</v>
      </c>
      <c r="CY28" s="1">
        <f>IF($I28="",0,phi_i($CQ$10,$CH$7,$CI$7,AC28,$CW$10,CS28,$CT$10))</f>
        <v>0</v>
      </c>
      <c r="CZ28">
        <f t="shared" si="21"/>
        <v>0</v>
      </c>
      <c r="DA28">
        <f t="shared" si="22"/>
        <v>0</v>
      </c>
      <c r="DB28">
        <f t="shared" si="23"/>
        <v>0</v>
      </c>
      <c r="DC28" s="89"/>
      <c r="DD28" s="86" t="str">
        <f t="shared" si="24"/>
        <v/>
      </c>
      <c r="DF28" t="str">
        <f t="shared" ca="1" si="25"/>
        <v/>
      </c>
      <c r="DG28" t="str">
        <f t="shared" ca="1" si="26"/>
        <v/>
      </c>
      <c r="DT28" s="1" t="str">
        <f>IF($I28="","",psi_i(a_iVal,x_iter3,$G28,Kij_Val,BIPset,$AE$3,COUNTA(Chemicals)))</f>
        <v/>
      </c>
      <c r="DU28" s="1" t="str">
        <f>IF($I28="","",psi_i(a_iVal,y_iter3,$G28,Kij_Val,BIPset,$AE$3,COUNTA(Chemicals)))</f>
        <v/>
      </c>
      <c r="DV28" s="1"/>
      <c r="DW28" s="1" t="str">
        <f t="shared" ca="1" si="27"/>
        <v/>
      </c>
      <c r="DX28" s="1" t="str">
        <f t="shared" ca="1" si="28"/>
        <v/>
      </c>
      <c r="DY28" s="1"/>
      <c r="DZ28" s="1">
        <f>IF($I28="",0,phi_i($DS$7,$DH$7,$DI$7,AC28,$DY$7,DT28,$DV$7))</f>
        <v>0</v>
      </c>
      <c r="EA28" s="1">
        <f>IF($I28="",0,phi_i($DS$10,$DJ$7,$DK$7,AC28,$DY$10,DU28,$DV$10))</f>
        <v>0</v>
      </c>
      <c r="EB28">
        <f t="shared" si="29"/>
        <v>0</v>
      </c>
      <c r="EC28">
        <f t="shared" si="30"/>
        <v>0</v>
      </c>
      <c r="ED28">
        <f t="shared" si="31"/>
        <v>0</v>
      </c>
      <c r="EE28" s="89"/>
      <c r="EF28" s="86" t="str">
        <f t="shared" si="32"/>
        <v/>
      </c>
      <c r="EH28" t="str">
        <f t="shared" ca="1" si="33"/>
        <v/>
      </c>
      <c r="EI28" t="str">
        <f t="shared" ca="1" si="34"/>
        <v/>
      </c>
      <c r="EV28" s="1" t="str">
        <f>IF($I28="","",psi_i(a_iVal,x_iter4,$G28,Kij_Val,BIPset,$AE$3,COUNTA(Chemicals)))</f>
        <v/>
      </c>
      <c r="EW28" s="1" t="str">
        <f>IF($I28="","",psi_i(a_iVal,y_iter4,$G28,Kij_Val,BIPset,$AE$3,COUNTA(Chemicals)))</f>
        <v/>
      </c>
      <c r="EX28" s="1"/>
      <c r="EY28" s="1" t="str">
        <f t="shared" ca="1" si="35"/>
        <v/>
      </c>
      <c r="EZ28" s="1" t="str">
        <f t="shared" ca="1" si="36"/>
        <v/>
      </c>
      <c r="FA28" s="1"/>
      <c r="FB28" s="1">
        <f>IF($I28="",0,phi_i($EU$7,$EJ$7,$EK$7,AC28,$FA$7,EV28,$EX$7))</f>
        <v>0</v>
      </c>
      <c r="FC28" s="1">
        <f>IF($I28="",0,phi_i($EU$10,$EL$7,$EM$7,AC28,$FA$10,EW28,$EX$10))</f>
        <v>0</v>
      </c>
      <c r="FD28">
        <f t="shared" si="37"/>
        <v>0</v>
      </c>
      <c r="FE28">
        <f t="shared" si="38"/>
        <v>0</v>
      </c>
      <c r="FF28">
        <f t="shared" si="39"/>
        <v>0</v>
      </c>
      <c r="FG28" s="89"/>
      <c r="FH28" s="86" t="str">
        <f t="shared" si="40"/>
        <v/>
      </c>
      <c r="FJ28" t="str">
        <f t="shared" ca="1" si="41"/>
        <v/>
      </c>
      <c r="FK28" t="str">
        <f t="shared" ca="1" si="42"/>
        <v/>
      </c>
      <c r="FX28" s="1" t="str">
        <f>IF($I28="","",psi_i(a_iVal,x_iter5,$G28,Kij_Val,BIPset,$AE$3,COUNTA(Chemicals)))</f>
        <v/>
      </c>
      <c r="FY28" s="1" t="str">
        <f>IF($I28="","",psi_i(a_iVal,y_iter5,$G28,Kij_Val,BIPset,$AE$3,COUNTA(Chemicals)))</f>
        <v/>
      </c>
      <c r="FZ28" s="1"/>
      <c r="GA28" s="1" t="str">
        <f t="shared" ca="1" si="43"/>
        <v/>
      </c>
      <c r="GB28" s="1" t="str">
        <f t="shared" ca="1" si="44"/>
        <v/>
      </c>
      <c r="GC28" s="1"/>
      <c r="GD28" s="1">
        <f>IF($I28="",0,phi_i($FW$7,$FL$7,$FM$7,AC28,$GC$7,FX28,$FZ$7))</f>
        <v>0</v>
      </c>
      <c r="GE28" s="1">
        <f>IF($I28="",0,phi_i($FW$10,$FN$7,$FO$7,AC28,$GC$10,FY28,$FZ$10))</f>
        <v>0</v>
      </c>
      <c r="GF28">
        <f t="shared" si="45"/>
        <v>0</v>
      </c>
      <c r="GG28">
        <f t="shared" si="46"/>
        <v>0</v>
      </c>
      <c r="GH28">
        <f t="shared" si="47"/>
        <v>0</v>
      </c>
      <c r="GI28" s="89"/>
      <c r="GJ28" s="86" t="str">
        <f t="shared" si="48"/>
        <v/>
      </c>
      <c r="GL28" t="str">
        <f t="shared" ca="1" si="49"/>
        <v/>
      </c>
      <c r="GM28" t="str">
        <f t="shared" ca="1" si="50"/>
        <v/>
      </c>
      <c r="GZ28" s="1" t="str">
        <f>IF($I28="","",psi_i(a_iVal,x_iter6,$G28,Kij_Val,BIPset,$AE$3,COUNTA(Chemicals)))</f>
        <v/>
      </c>
      <c r="HA28" s="1" t="str">
        <f>IF($I28="","",psi_i(a_iVal,y_iter6,$G28,Kij_Val,BIPset,$AE$3,COUNTA(Chemicals)))</f>
        <v/>
      </c>
      <c r="HB28" s="1"/>
      <c r="HC28" s="1" t="str">
        <f t="shared" ca="1" si="51"/>
        <v/>
      </c>
      <c r="HD28" s="1" t="str">
        <f t="shared" ca="1" si="52"/>
        <v/>
      </c>
      <c r="HE28" s="1"/>
      <c r="HF28" s="1">
        <f>IF($I28="",0,phi_i($GY$7,$GN$7,$GO$7,AC28,$HE$7,GZ28,$HB$7))</f>
        <v>0</v>
      </c>
      <c r="HG28" s="1">
        <f>IF($I28="",0,phi_i($GY$10,$GP$7,$GQ$7,AC28,$HE$10,HA28,$HB$10))</f>
        <v>0</v>
      </c>
      <c r="HH28">
        <f t="shared" si="53"/>
        <v>0</v>
      </c>
      <c r="HI28">
        <f t="shared" si="54"/>
        <v>0</v>
      </c>
      <c r="HJ28">
        <f t="shared" si="55"/>
        <v>0</v>
      </c>
      <c r="HK28" s="89"/>
      <c r="HL28" s="86" t="str">
        <f t="shared" si="56"/>
        <v/>
      </c>
      <c r="HN28" t="str">
        <f t="shared" ca="1" si="57"/>
        <v/>
      </c>
      <c r="HO28" t="str">
        <f t="shared" ca="1" si="58"/>
        <v/>
      </c>
      <c r="IB28" s="1" t="str">
        <f>IF($I28="","",psi_i(a_iVal,x_iter7,$G28,Kij_Val,BIPset,$AE$3,COUNTA(Chemicals)))</f>
        <v/>
      </c>
      <c r="IC28" s="1" t="str">
        <f>IF($I28="","",psi_i(a_iVal,y_iter7,$G28,Kij_Val,BIPset,$AE$3,COUNTA(Chemicals)))</f>
        <v/>
      </c>
      <c r="ID28" s="1"/>
      <c r="IE28" s="1" t="str">
        <f t="shared" ca="1" si="59"/>
        <v/>
      </c>
      <c r="IF28" s="1" t="str">
        <f t="shared" ca="1" si="60"/>
        <v/>
      </c>
      <c r="IG28" s="1"/>
      <c r="IH28" s="1">
        <f>IF($I28="",0,phi_i($IA$7,$HP$7,$HQ$7,AC28,$IG$7,IB28,$ID$7))</f>
        <v>0</v>
      </c>
      <c r="II28" s="1">
        <f>IF($I28="",0,phi_i($IA$10,$HR$7,$HS$7,AC28,$IG$10,IC28,$ID$10))</f>
        <v>0</v>
      </c>
      <c r="IJ28">
        <f t="shared" si="61"/>
        <v>0</v>
      </c>
      <c r="IK28">
        <f t="shared" si="62"/>
        <v>0</v>
      </c>
      <c r="IL28">
        <f t="shared" si="63"/>
        <v>0</v>
      </c>
      <c r="IM28" s="89"/>
      <c r="IN28" s="86" t="str">
        <f t="shared" si="64"/>
        <v/>
      </c>
      <c r="IP28" t="str">
        <f t="shared" ca="1" si="65"/>
        <v/>
      </c>
      <c r="IQ28" t="str">
        <f t="shared" ca="1" si="66"/>
        <v/>
      </c>
      <c r="JD28" s="1" t="str">
        <f>IF($I28="","",psi_i(a_iVal,x_iter8,$G28,Kij_Val,BIPset,$AE$3,COUNTA(Chemicals)))</f>
        <v/>
      </c>
      <c r="JE28" s="1" t="str">
        <f>IF($I28="","",psi_i(a_iVal,y_iter8,$G28,Kij_Val,BIPset,$AE$3,COUNTA(Chemicals)))</f>
        <v/>
      </c>
      <c r="JF28" s="1"/>
      <c r="JG28" s="1" t="str">
        <f t="shared" ca="1" si="67"/>
        <v/>
      </c>
      <c r="JH28" s="1" t="str">
        <f t="shared" ca="1" si="68"/>
        <v/>
      </c>
      <c r="JI28" s="1"/>
      <c r="JJ28" s="1">
        <f>IF($I28="",0,phi_i($JC$7,$IR$7,$IS$7,AC28,$JI$7,JD28,$JF$7))</f>
        <v>0</v>
      </c>
      <c r="JK28" s="1">
        <f>IF($I28="",0,phi_i($JC$10,$IT$7,$IU$7,AC28,$JI$10,JE28,$JF$10))</f>
        <v>0</v>
      </c>
      <c r="JL28">
        <f t="shared" si="69"/>
        <v>0</v>
      </c>
      <c r="JM28">
        <f t="shared" si="70"/>
        <v>0</v>
      </c>
      <c r="JN28">
        <f t="shared" si="71"/>
        <v>0</v>
      </c>
      <c r="JO28" s="89"/>
    </row>
    <row r="29" spans="1:275">
      <c r="A29" s="132"/>
      <c r="B29" s="173"/>
      <c r="C29" s="132"/>
      <c r="D29" s="173"/>
      <c r="E29" s="132"/>
      <c r="F29" s="173"/>
      <c r="H29" s="6" t="str">
        <f>IF(Wilson!B29="","",Wilson!B29)</f>
        <v/>
      </c>
      <c r="I29" s="3" t="str">
        <f>IF(Wilson!C29="","",Wilson!C29)</f>
        <v/>
      </c>
      <c r="J29" s="13"/>
      <c r="K29" s="13"/>
      <c r="L29" s="13"/>
      <c r="M29" s="13"/>
      <c r="N29" s="13"/>
      <c r="O29" s="13"/>
      <c r="P29" s="13"/>
      <c r="Q29" s="13"/>
      <c r="R29" s="13"/>
      <c r="S29" s="13"/>
      <c r="T29" s="13"/>
      <c r="U29" s="13"/>
      <c r="V29" s="13"/>
      <c r="W29" s="13"/>
      <c r="X29" s="1" t="str">
        <f>IF(Wilson!M29="","",Wilson!M29)</f>
        <v/>
      </c>
      <c r="Y29" s="13"/>
      <c r="Z29" s="13"/>
      <c r="AA29" s="13"/>
      <c r="AB29" s="13"/>
      <c r="AC29" s="13"/>
      <c r="AD29" s="76"/>
      <c r="AE29" s="77"/>
      <c r="AF29" s="77"/>
      <c r="AG29" s="77"/>
      <c r="AP29" s="1" t="str">
        <f>IF(I29="","",psi_i(a_iVal,x_iVal,G29,Kij_Val,BIPset,$AE$3,COUNTA(Chemicals)))</f>
        <v/>
      </c>
      <c r="AQ29" s="1" t="str">
        <f>IF(I29="","",psi_i(a_iVal,y_iVal, G29,Kij_Val,BIPset,$AE$3,COUNTA(Chemicals)))</f>
        <v/>
      </c>
      <c r="AR29" s="1"/>
      <c r="AS29" s="1" t="str">
        <f t="shared" si="6"/>
        <v/>
      </c>
      <c r="AT29" s="1">
        <f t="shared" si="7"/>
        <v>0</v>
      </c>
      <c r="AU29" s="1"/>
      <c r="AV29" s="1"/>
      <c r="AW29" s="1"/>
      <c r="AX29" s="1"/>
      <c r="BP29" s="1" t="str">
        <f>IF(I29="","",psi_i(a_iVal,x_iter1,G29,Kij_Val,BIPset,$AE$3,COUNTA(Chemicals)))</f>
        <v/>
      </c>
      <c r="BQ29" s="1" t="str">
        <f>IF(I29="","",psi_i(a_iVal,y_iter1,G29,Kij_Val,BIPset,$AE$3,COUNTA(Chemicals)))</f>
        <v/>
      </c>
      <c r="BR29" s="1"/>
      <c r="BS29" s="1">
        <f t="shared" si="11"/>
        <v>0</v>
      </c>
      <c r="BT29" s="1">
        <f t="shared" si="12"/>
        <v>0</v>
      </c>
      <c r="BU29" s="1"/>
      <c r="BV29" s="1">
        <f>IF(I29="",0,phi_i($BO$7,$BD$7,$BE$7,AC29,$BU$7,BP29,$BR$7))</f>
        <v>0</v>
      </c>
      <c r="BW29" s="1">
        <f>IF(I29="",0,phi_i($BO$10,$BF$7,$BG$7,AC29,$BU$10,BQ29,$BR$10))</f>
        <v>0</v>
      </c>
      <c r="BX29">
        <f t="shared" si="13"/>
        <v>0</v>
      </c>
      <c r="BY29">
        <f t="shared" si="14"/>
        <v>0</v>
      </c>
      <c r="BZ29">
        <f t="shared" si="15"/>
        <v>0</v>
      </c>
      <c r="CA29" s="89"/>
      <c r="CB29" s="86" t="str">
        <f t="shared" si="16"/>
        <v/>
      </c>
      <c r="CD29" t="str">
        <f t="shared" ca="1" si="17"/>
        <v/>
      </c>
      <c r="CE29" t="str">
        <f t="shared" ca="1" si="18"/>
        <v/>
      </c>
      <c r="CR29" s="1" t="str">
        <f>IF($I29="","",psi_i(a_iVal,x_iter2,$G29,Kij_Val,BIPset,$AE$3,COUNTA(Chemicals)))</f>
        <v/>
      </c>
      <c r="CS29" s="1" t="str">
        <f>IF($I29="","",psi_i(a_iVal,y_iter2,$G29,Kij_Val,BIPset,$AE$3,COUNTA(Chemicals)))</f>
        <v/>
      </c>
      <c r="CT29" s="1"/>
      <c r="CU29" s="1" t="str">
        <f t="shared" ca="1" si="19"/>
        <v/>
      </c>
      <c r="CV29" s="1" t="str">
        <f t="shared" ca="1" si="20"/>
        <v/>
      </c>
      <c r="CW29" s="1"/>
      <c r="CX29" s="1">
        <f>IF($I29="",0,phi_i($CQ$7,$CF$7,$CG$7,AC29,$CW$7,CR29,$CT$7))</f>
        <v>0</v>
      </c>
      <c r="CY29" s="1">
        <f>IF($I29="",0,phi_i($CQ$10,$CH$7,$CI$7,AC29,$CW$10,CS29,$CT$10))</f>
        <v>0</v>
      </c>
      <c r="CZ29">
        <f t="shared" si="21"/>
        <v>0</v>
      </c>
      <c r="DA29">
        <f t="shared" si="22"/>
        <v>0</v>
      </c>
      <c r="DB29">
        <f t="shared" si="23"/>
        <v>0</v>
      </c>
      <c r="DC29" s="89"/>
      <c r="DD29" s="86" t="str">
        <f t="shared" si="24"/>
        <v/>
      </c>
      <c r="DF29" t="str">
        <f t="shared" ca="1" si="25"/>
        <v/>
      </c>
      <c r="DG29" t="str">
        <f t="shared" ca="1" si="26"/>
        <v/>
      </c>
      <c r="DT29" s="1" t="str">
        <f>IF($I29="","",psi_i(a_iVal,x_iter3,$G29,Kij_Val,BIPset,$AE$3,COUNTA(Chemicals)))</f>
        <v/>
      </c>
      <c r="DU29" s="1" t="str">
        <f>IF($I29="","",psi_i(a_iVal,y_iter3,$G29,Kij_Val,BIPset,$AE$3,COUNTA(Chemicals)))</f>
        <v/>
      </c>
      <c r="DV29" s="1"/>
      <c r="DW29" s="1" t="str">
        <f t="shared" ca="1" si="27"/>
        <v/>
      </c>
      <c r="DX29" s="1" t="str">
        <f t="shared" ca="1" si="28"/>
        <v/>
      </c>
      <c r="DY29" s="1"/>
      <c r="DZ29" s="1">
        <f>IF($I29="",0,phi_i($DS$7,$DH$7,$DI$7,AC29,$DY$7,DT29,$DV$7))</f>
        <v>0</v>
      </c>
      <c r="EA29" s="1">
        <f>IF($I29="",0,phi_i($DS$10,$DJ$7,$DK$7,AC29,$DY$10,DU29,$DV$10))</f>
        <v>0</v>
      </c>
      <c r="EB29">
        <f t="shared" si="29"/>
        <v>0</v>
      </c>
      <c r="EC29">
        <f t="shared" si="30"/>
        <v>0</v>
      </c>
      <c r="ED29">
        <f t="shared" si="31"/>
        <v>0</v>
      </c>
      <c r="EE29" s="89"/>
      <c r="EF29" s="86" t="str">
        <f t="shared" si="32"/>
        <v/>
      </c>
      <c r="EH29" t="str">
        <f t="shared" ca="1" si="33"/>
        <v/>
      </c>
      <c r="EI29" t="str">
        <f t="shared" ca="1" si="34"/>
        <v/>
      </c>
      <c r="EV29" s="1" t="str">
        <f>IF($I29="","",psi_i(a_iVal,x_iter4,$G29,Kij_Val,BIPset,$AE$3,COUNTA(Chemicals)))</f>
        <v/>
      </c>
      <c r="EW29" s="1" t="str">
        <f>IF($I29="","",psi_i(a_iVal,y_iter4,$G29,Kij_Val,BIPset,$AE$3,COUNTA(Chemicals)))</f>
        <v/>
      </c>
      <c r="EX29" s="1"/>
      <c r="EY29" s="1" t="str">
        <f t="shared" ca="1" si="35"/>
        <v/>
      </c>
      <c r="EZ29" s="1" t="str">
        <f t="shared" ca="1" si="36"/>
        <v/>
      </c>
      <c r="FA29" s="1"/>
      <c r="FB29" s="1">
        <f>IF($I29="",0,phi_i($EU$7,$EJ$7,$EK$7,AC29,$FA$7,EV29,$EX$7))</f>
        <v>0</v>
      </c>
      <c r="FC29" s="1">
        <f>IF($I29="",0,phi_i($EU$10,$EL$7,$EM$7,AC29,$FA$10,EW29,$EX$10))</f>
        <v>0</v>
      </c>
      <c r="FD29">
        <f t="shared" si="37"/>
        <v>0</v>
      </c>
      <c r="FE29">
        <f t="shared" si="38"/>
        <v>0</v>
      </c>
      <c r="FF29">
        <f t="shared" si="39"/>
        <v>0</v>
      </c>
      <c r="FG29" s="89"/>
      <c r="FH29" s="86" t="str">
        <f t="shared" si="40"/>
        <v/>
      </c>
      <c r="FJ29" t="str">
        <f t="shared" ca="1" si="41"/>
        <v/>
      </c>
      <c r="FK29" t="str">
        <f t="shared" ca="1" si="42"/>
        <v/>
      </c>
      <c r="FX29" s="1" t="str">
        <f>IF($I29="","",psi_i(a_iVal,x_iter5,$G29,Kij_Val,BIPset,$AE$3,COUNTA(Chemicals)))</f>
        <v/>
      </c>
      <c r="FY29" s="1" t="str">
        <f>IF($I29="","",psi_i(a_iVal,y_iter5,$G29,Kij_Val,BIPset,$AE$3,COUNTA(Chemicals)))</f>
        <v/>
      </c>
      <c r="FZ29" s="1"/>
      <c r="GA29" s="1" t="str">
        <f t="shared" ca="1" si="43"/>
        <v/>
      </c>
      <c r="GB29" s="1" t="str">
        <f t="shared" ca="1" si="44"/>
        <v/>
      </c>
      <c r="GC29" s="1"/>
      <c r="GD29" s="1">
        <f>IF($I29="",0,phi_i($FW$7,$FL$7,$FM$7,AC29,$GC$7,FX29,$FZ$7))</f>
        <v>0</v>
      </c>
      <c r="GE29" s="1">
        <f>IF($I29="",0,phi_i($FW$10,$FN$7,$FO$7,AC29,$GC$10,FY29,$FZ$10))</f>
        <v>0</v>
      </c>
      <c r="GF29">
        <f t="shared" si="45"/>
        <v>0</v>
      </c>
      <c r="GG29">
        <f t="shared" si="46"/>
        <v>0</v>
      </c>
      <c r="GH29">
        <f t="shared" si="47"/>
        <v>0</v>
      </c>
      <c r="GI29" s="89"/>
      <c r="GJ29" s="86" t="str">
        <f t="shared" si="48"/>
        <v/>
      </c>
      <c r="GL29" t="str">
        <f t="shared" ca="1" si="49"/>
        <v/>
      </c>
      <c r="GM29" t="str">
        <f t="shared" ca="1" si="50"/>
        <v/>
      </c>
      <c r="GZ29" s="1" t="str">
        <f>IF($I29="","",psi_i(a_iVal,x_iter6,$G29,Kij_Val,BIPset,$AE$3,COUNTA(Chemicals)))</f>
        <v/>
      </c>
      <c r="HA29" s="1" t="str">
        <f>IF($I29="","",psi_i(a_iVal,y_iter6,$G29,Kij_Val,BIPset,$AE$3,COUNTA(Chemicals)))</f>
        <v/>
      </c>
      <c r="HB29" s="1"/>
      <c r="HC29" s="1" t="str">
        <f t="shared" ca="1" si="51"/>
        <v/>
      </c>
      <c r="HD29" s="1" t="str">
        <f t="shared" ca="1" si="52"/>
        <v/>
      </c>
      <c r="HE29" s="1"/>
      <c r="HF29" s="1">
        <f>IF($I29="",0,phi_i($GY$7,$GN$7,$GO$7,AC29,$HE$7,GZ29,$HB$7))</f>
        <v>0</v>
      </c>
      <c r="HG29" s="1">
        <f>IF($I29="",0,phi_i($GY$10,$GP$7,$GQ$7,AC29,$HE$10,HA29,$HB$10))</f>
        <v>0</v>
      </c>
      <c r="HH29">
        <f t="shared" si="53"/>
        <v>0</v>
      </c>
      <c r="HI29">
        <f t="shared" si="54"/>
        <v>0</v>
      </c>
      <c r="HJ29">
        <f t="shared" si="55"/>
        <v>0</v>
      </c>
      <c r="HK29" s="89"/>
      <c r="HL29" s="86" t="str">
        <f t="shared" si="56"/>
        <v/>
      </c>
      <c r="HN29" t="str">
        <f t="shared" ca="1" si="57"/>
        <v/>
      </c>
      <c r="HO29" t="str">
        <f t="shared" ca="1" si="58"/>
        <v/>
      </c>
      <c r="IB29" s="1" t="str">
        <f>IF($I29="","",psi_i(a_iVal,x_iter7,$G29,Kij_Val,BIPset,$AE$3,COUNTA(Chemicals)))</f>
        <v/>
      </c>
      <c r="IC29" s="1" t="str">
        <f>IF($I29="","",psi_i(a_iVal,y_iter7,$G29,Kij_Val,BIPset,$AE$3,COUNTA(Chemicals)))</f>
        <v/>
      </c>
      <c r="ID29" s="1"/>
      <c r="IE29" s="1" t="str">
        <f t="shared" ca="1" si="59"/>
        <v/>
      </c>
      <c r="IF29" s="1" t="str">
        <f t="shared" ca="1" si="60"/>
        <v/>
      </c>
      <c r="IG29" s="1"/>
      <c r="IH29" s="1">
        <f>IF($I29="",0,phi_i($IA$7,$HP$7,$HQ$7,AC29,$IG$7,IB29,$ID$7))</f>
        <v>0</v>
      </c>
      <c r="II29" s="1">
        <f>IF($I29="",0,phi_i($IA$10,$HR$7,$HS$7,AC29,$IG$10,IC29,$ID$10))</f>
        <v>0</v>
      </c>
      <c r="IJ29">
        <f t="shared" si="61"/>
        <v>0</v>
      </c>
      <c r="IK29">
        <f t="shared" si="62"/>
        <v>0</v>
      </c>
      <c r="IL29">
        <f t="shared" si="63"/>
        <v>0</v>
      </c>
      <c r="IM29" s="89"/>
      <c r="IN29" s="86" t="str">
        <f t="shared" si="64"/>
        <v/>
      </c>
      <c r="IP29" t="str">
        <f t="shared" ca="1" si="65"/>
        <v/>
      </c>
      <c r="IQ29" t="str">
        <f t="shared" ca="1" si="66"/>
        <v/>
      </c>
      <c r="JD29" s="1" t="str">
        <f>IF($I29="","",psi_i(a_iVal,x_iter8,$G29,Kij_Val,BIPset,$AE$3,COUNTA(Chemicals)))</f>
        <v/>
      </c>
      <c r="JE29" s="1" t="str">
        <f>IF($I29="","",psi_i(a_iVal,y_iter8,$G29,Kij_Val,BIPset,$AE$3,COUNTA(Chemicals)))</f>
        <v/>
      </c>
      <c r="JF29" s="1"/>
      <c r="JG29" s="1" t="str">
        <f t="shared" ca="1" si="67"/>
        <v/>
      </c>
      <c r="JH29" s="1" t="str">
        <f t="shared" ca="1" si="68"/>
        <v/>
      </c>
      <c r="JI29" s="1"/>
      <c r="JJ29" s="1">
        <f>IF($I29="",0,phi_i($JC$7,$IR$7,$IS$7,AC29,$JI$7,JD29,$JF$7))</f>
        <v>0</v>
      </c>
      <c r="JK29" s="1">
        <f>IF($I29="",0,phi_i($JC$10,$IT$7,$IU$7,AC29,$JI$10,JE29,$JF$10))</f>
        <v>0</v>
      </c>
      <c r="JL29">
        <f t="shared" si="69"/>
        <v>0</v>
      </c>
      <c r="JM29">
        <f t="shared" si="70"/>
        <v>0</v>
      </c>
      <c r="JN29">
        <f t="shared" si="71"/>
        <v>0</v>
      </c>
      <c r="JO29" s="89"/>
    </row>
    <row r="30" spans="1:275">
      <c r="A30" s="132"/>
      <c r="B30" s="173"/>
      <c r="C30" s="132"/>
      <c r="D30" s="173"/>
      <c r="E30" s="132"/>
      <c r="F30" s="173"/>
    </row>
    <row r="31" spans="1:275">
      <c r="A31" s="132"/>
      <c r="B31" s="173"/>
      <c r="C31" s="132"/>
      <c r="D31" s="173"/>
      <c r="E31" s="132"/>
      <c r="F31" s="173"/>
    </row>
    <row r="32" spans="1:275">
      <c r="A32" s="132"/>
      <c r="B32" s="173"/>
      <c r="C32" s="132"/>
      <c r="D32" s="173"/>
      <c r="E32" s="132"/>
      <c r="F32" s="173"/>
    </row>
    <row r="33" spans="1:6">
      <c r="A33" s="132"/>
      <c r="B33" s="173"/>
      <c r="C33" s="132"/>
      <c r="D33" s="173"/>
      <c r="E33" s="132"/>
      <c r="F33" s="173"/>
    </row>
    <row r="34" spans="1:6">
      <c r="A34" s="132"/>
      <c r="B34" s="173"/>
      <c r="C34" s="132"/>
      <c r="D34" s="173"/>
      <c r="E34" s="132"/>
      <c r="F34" s="173"/>
    </row>
  </sheetData>
  <mergeCells count="75">
    <mergeCell ref="E33:F33"/>
    <mergeCell ref="E34:F34"/>
    <mergeCell ref="AZ3:BB3"/>
    <mergeCell ref="E28:F28"/>
    <mergeCell ref="E29:F29"/>
    <mergeCell ref="E30:F30"/>
    <mergeCell ref="E31:F31"/>
    <mergeCell ref="E32:F32"/>
    <mergeCell ref="A24:F24"/>
    <mergeCell ref="A33:B33"/>
    <mergeCell ref="A34:B34"/>
    <mergeCell ref="C26:D26"/>
    <mergeCell ref="C27:D27"/>
    <mergeCell ref="C28:D28"/>
    <mergeCell ref="C29:D29"/>
    <mergeCell ref="C30:D30"/>
    <mergeCell ref="C31:D31"/>
    <mergeCell ref="C32:D32"/>
    <mergeCell ref="C33:D33"/>
    <mergeCell ref="C34:D34"/>
    <mergeCell ref="A28:B28"/>
    <mergeCell ref="A29:B29"/>
    <mergeCell ref="A30:B30"/>
    <mergeCell ref="A31:B31"/>
    <mergeCell ref="A32:B32"/>
    <mergeCell ref="A25:B25"/>
    <mergeCell ref="C25:D25"/>
    <mergeCell ref="E25:F25"/>
    <mergeCell ref="A26:B26"/>
    <mergeCell ref="A27:B27"/>
    <mergeCell ref="E26:F26"/>
    <mergeCell ref="E27:F27"/>
    <mergeCell ref="HH5:HK5"/>
    <mergeCell ref="GR8:GY8"/>
    <mergeCell ref="AH5:AO5"/>
    <mergeCell ref="AH8:AO8"/>
    <mergeCell ref="A9:F9"/>
    <mergeCell ref="EN8:EU8"/>
    <mergeCell ref="EN5:EU5"/>
    <mergeCell ref="A11:C11"/>
    <mergeCell ref="D11:F11"/>
    <mergeCell ref="GR5:GY5"/>
    <mergeCell ref="A10:F10"/>
    <mergeCell ref="W7:W12"/>
    <mergeCell ref="K4:O4"/>
    <mergeCell ref="K5:O5"/>
    <mergeCell ref="P5:U5"/>
    <mergeCell ref="GJ3:GL3"/>
    <mergeCell ref="BH8:BO8"/>
    <mergeCell ref="BH5:BO5"/>
    <mergeCell ref="DL8:DS8"/>
    <mergeCell ref="DD3:DF3"/>
    <mergeCell ref="BX5:CA5"/>
    <mergeCell ref="CJ5:CQ5"/>
    <mergeCell ref="CZ5:DC5"/>
    <mergeCell ref="CJ8:CQ8"/>
    <mergeCell ref="EF3:EH3"/>
    <mergeCell ref="FP5:FW5"/>
    <mergeCell ref="FD5:FG5"/>
    <mergeCell ref="JL5:JO5"/>
    <mergeCell ref="IV8:JC8"/>
    <mergeCell ref="IN3:IP3"/>
    <mergeCell ref="H1:J1"/>
    <mergeCell ref="HT5:IA5"/>
    <mergeCell ref="IJ5:IM5"/>
    <mergeCell ref="HT8:IA8"/>
    <mergeCell ref="HL3:HN3"/>
    <mergeCell ref="IV5:JC5"/>
    <mergeCell ref="CB2:CE2"/>
    <mergeCell ref="DL5:DS5"/>
    <mergeCell ref="EB5:EE5"/>
    <mergeCell ref="GF5:GI5"/>
    <mergeCell ref="FP8:FW8"/>
    <mergeCell ref="FH3:FJ3"/>
    <mergeCell ref="H2:J2"/>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2:BI15"/>
  <sheetViews>
    <sheetView tabSelected="1" zoomScale="150" zoomScaleNormal="150" zoomScalePageLayoutView="150" workbookViewId="0">
      <selection activeCell="B4" sqref="B4"/>
    </sheetView>
  </sheetViews>
  <sheetFormatPr defaultColWidth="11.19921875" defaultRowHeight="15.6"/>
  <cols>
    <col min="1" max="1" width="13.69921875" customWidth="1"/>
    <col min="10" max="10" width="16.19921875" customWidth="1"/>
    <col min="26" max="26" width="18" customWidth="1"/>
  </cols>
  <sheetData>
    <row r="2" spans="1:61">
      <c r="B2" s="119">
        <v>1</v>
      </c>
      <c r="C2" s="119">
        <f>B2+1</f>
        <v>2</v>
      </c>
      <c r="D2" s="119">
        <f t="shared" ref="D2:V2" si="0">C2+1</f>
        <v>3</v>
      </c>
      <c r="E2" s="119">
        <f t="shared" si="0"/>
        <v>4</v>
      </c>
      <c r="F2" s="119">
        <f t="shared" si="0"/>
        <v>5</v>
      </c>
      <c r="G2" s="119">
        <f t="shared" si="0"/>
        <v>6</v>
      </c>
      <c r="H2" s="119">
        <f t="shared" si="0"/>
        <v>7</v>
      </c>
      <c r="I2" s="119">
        <f t="shared" si="0"/>
        <v>8</v>
      </c>
      <c r="J2" s="119">
        <f t="shared" si="0"/>
        <v>9</v>
      </c>
      <c r="K2" s="119">
        <f t="shared" si="0"/>
        <v>10</v>
      </c>
      <c r="L2" s="119">
        <f t="shared" si="0"/>
        <v>11</v>
      </c>
      <c r="M2" s="119">
        <f t="shared" si="0"/>
        <v>12</v>
      </c>
      <c r="N2" s="119">
        <f t="shared" si="0"/>
        <v>13</v>
      </c>
      <c r="O2" s="119">
        <f t="shared" si="0"/>
        <v>14</v>
      </c>
      <c r="P2" s="119">
        <f t="shared" si="0"/>
        <v>15</v>
      </c>
      <c r="Q2" s="119">
        <f t="shared" si="0"/>
        <v>16</v>
      </c>
      <c r="R2" s="119">
        <f t="shared" si="0"/>
        <v>17</v>
      </c>
      <c r="S2" s="119">
        <f t="shared" si="0"/>
        <v>18</v>
      </c>
      <c r="T2" s="119">
        <f t="shared" si="0"/>
        <v>19</v>
      </c>
      <c r="U2" s="119">
        <f t="shared" si="0"/>
        <v>20</v>
      </c>
      <c r="V2" s="119">
        <f t="shared" si="0"/>
        <v>21</v>
      </c>
      <c r="W2" s="119">
        <v>22</v>
      </c>
      <c r="X2" s="119">
        <v>23</v>
      </c>
      <c r="Y2" s="119">
        <v>24</v>
      </c>
    </row>
    <row r="3" spans="1:61">
      <c r="B3" s="119" t="s">
        <v>239</v>
      </c>
      <c r="C3" s="119" t="s">
        <v>240</v>
      </c>
      <c r="D3" s="119" t="s">
        <v>241</v>
      </c>
      <c r="E3" s="119" t="s">
        <v>67</v>
      </c>
      <c r="F3" s="119" t="s">
        <v>242</v>
      </c>
      <c r="G3" s="119" t="s">
        <v>243</v>
      </c>
      <c r="H3" s="119" t="s">
        <v>244</v>
      </c>
      <c r="I3" s="119" t="s">
        <v>245</v>
      </c>
      <c r="J3" s="119" t="s">
        <v>246</v>
      </c>
      <c r="K3" s="119" t="s">
        <v>247</v>
      </c>
      <c r="L3" s="119" t="s">
        <v>248</v>
      </c>
      <c r="M3" s="119" t="s">
        <v>249</v>
      </c>
      <c r="N3" s="119" t="s">
        <v>74</v>
      </c>
      <c r="O3" s="119" t="s">
        <v>250</v>
      </c>
      <c r="P3" s="119" t="s">
        <v>251</v>
      </c>
      <c r="Q3" s="119" t="s">
        <v>73</v>
      </c>
      <c r="R3" s="119" t="s">
        <v>252</v>
      </c>
      <c r="S3" s="119" t="s">
        <v>253</v>
      </c>
      <c r="T3" s="119" t="s">
        <v>254</v>
      </c>
      <c r="U3" s="119" t="s">
        <v>255</v>
      </c>
      <c r="V3" s="119" t="s">
        <v>256</v>
      </c>
      <c r="W3" s="119" t="s">
        <v>257</v>
      </c>
      <c r="X3" s="119" t="s">
        <v>258</v>
      </c>
      <c r="Y3" s="119" t="s">
        <v>259</v>
      </c>
      <c r="Z3" s="119" t="s">
        <v>260</v>
      </c>
      <c r="AA3" s="119" t="s">
        <v>261</v>
      </c>
      <c r="AB3" s="119" t="s">
        <v>262</v>
      </c>
      <c r="AC3" s="119" t="s">
        <v>263</v>
      </c>
      <c r="AD3" s="119" t="s">
        <v>264</v>
      </c>
      <c r="AE3" s="119" t="s">
        <v>265</v>
      </c>
      <c r="AF3" s="119" t="s">
        <v>266</v>
      </c>
      <c r="AG3" s="119" t="s">
        <v>267</v>
      </c>
      <c r="AH3" s="119" t="s">
        <v>268</v>
      </c>
      <c r="AI3" s="119" t="s">
        <v>269</v>
      </c>
      <c r="AJ3" s="119" t="s">
        <v>270</v>
      </c>
      <c r="AK3" s="119" t="s">
        <v>271</v>
      </c>
      <c r="AL3" s="119" t="s">
        <v>272</v>
      </c>
      <c r="AM3" s="119" t="s">
        <v>273</v>
      </c>
      <c r="AN3" s="119" t="s">
        <v>274</v>
      </c>
      <c r="AO3" s="119" t="s">
        <v>275</v>
      </c>
      <c r="AP3" s="119" t="s">
        <v>276</v>
      </c>
      <c r="AQ3" s="119" t="s">
        <v>277</v>
      </c>
      <c r="AR3" s="119" t="s">
        <v>278</v>
      </c>
      <c r="AS3" s="119" t="s">
        <v>279</v>
      </c>
      <c r="AT3" s="119" t="s">
        <v>280</v>
      </c>
      <c r="AU3" s="119" t="s">
        <v>281</v>
      </c>
      <c r="AV3" s="119" t="s">
        <v>282</v>
      </c>
      <c r="AW3" s="119" t="s">
        <v>283</v>
      </c>
      <c r="AX3" s="119" t="s">
        <v>284</v>
      </c>
    </row>
    <row r="4" spans="1:61">
      <c r="A4" t="s">
        <v>69</v>
      </c>
      <c r="B4">
        <v>2</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f t="shared" ref="Z4:Z9" si="1">SUM(B4:Y4)</f>
        <v>2</v>
      </c>
      <c r="AA4">
        <f t="shared" ref="AA4:AJ9" si="2">B4/$Z4</f>
        <v>1</v>
      </c>
      <c r="AB4">
        <f t="shared" si="2"/>
        <v>0</v>
      </c>
      <c r="AC4">
        <f t="shared" si="2"/>
        <v>0</v>
      </c>
      <c r="AD4">
        <f t="shared" si="2"/>
        <v>0</v>
      </c>
      <c r="AE4">
        <f t="shared" si="2"/>
        <v>0</v>
      </c>
      <c r="AF4">
        <f t="shared" si="2"/>
        <v>0</v>
      </c>
      <c r="AG4">
        <f t="shared" si="2"/>
        <v>0</v>
      </c>
      <c r="AH4">
        <f t="shared" si="2"/>
        <v>0</v>
      </c>
      <c r="AI4">
        <f t="shared" si="2"/>
        <v>0</v>
      </c>
      <c r="AJ4">
        <f t="shared" si="2"/>
        <v>0</v>
      </c>
      <c r="AK4">
        <f t="shared" ref="AK4:AT9" si="3">L4/$Z4</f>
        <v>0</v>
      </c>
      <c r="AL4">
        <f t="shared" si="3"/>
        <v>0</v>
      </c>
      <c r="AM4">
        <f t="shared" si="3"/>
        <v>0</v>
      </c>
      <c r="AN4">
        <f t="shared" si="3"/>
        <v>0</v>
      </c>
      <c r="AO4">
        <f t="shared" si="3"/>
        <v>0</v>
      </c>
      <c r="AP4">
        <f t="shared" si="3"/>
        <v>0</v>
      </c>
      <c r="AQ4">
        <f t="shared" si="3"/>
        <v>0</v>
      </c>
      <c r="AR4">
        <f t="shared" si="3"/>
        <v>0</v>
      </c>
      <c r="AS4">
        <f t="shared" si="3"/>
        <v>0</v>
      </c>
      <c r="AT4">
        <f t="shared" si="3"/>
        <v>0</v>
      </c>
      <c r="AU4">
        <f t="shared" ref="AU4:AU9" si="4">V4/$Z4</f>
        <v>0</v>
      </c>
      <c r="AV4">
        <f t="shared" ref="AV4:AX9" si="5">W4/$Z4</f>
        <v>0</v>
      </c>
      <c r="AW4">
        <f t="shared" si="5"/>
        <v>0</v>
      </c>
      <c r="AX4">
        <f t="shared" si="5"/>
        <v>0</v>
      </c>
    </row>
    <row r="5" spans="1:61">
      <c r="A5" t="s">
        <v>70</v>
      </c>
      <c r="B5">
        <v>2</v>
      </c>
      <c r="C5">
        <v>3</v>
      </c>
      <c r="D5">
        <v>0</v>
      </c>
      <c r="E5">
        <v>0</v>
      </c>
      <c r="F5">
        <v>0</v>
      </c>
      <c r="G5">
        <v>0</v>
      </c>
      <c r="H5">
        <v>0</v>
      </c>
      <c r="I5">
        <v>0</v>
      </c>
      <c r="J5">
        <v>0</v>
      </c>
      <c r="K5">
        <v>0</v>
      </c>
      <c r="L5">
        <v>0</v>
      </c>
      <c r="M5">
        <v>0</v>
      </c>
      <c r="N5">
        <v>0</v>
      </c>
      <c r="O5">
        <v>0</v>
      </c>
      <c r="P5">
        <v>0</v>
      </c>
      <c r="Q5">
        <v>0</v>
      </c>
      <c r="R5">
        <v>0</v>
      </c>
      <c r="S5">
        <v>0</v>
      </c>
      <c r="T5">
        <v>0</v>
      </c>
      <c r="U5">
        <v>0</v>
      </c>
      <c r="V5">
        <v>0</v>
      </c>
      <c r="W5">
        <v>0</v>
      </c>
      <c r="X5">
        <v>0</v>
      </c>
      <c r="Y5">
        <v>0</v>
      </c>
      <c r="Z5">
        <f t="shared" si="1"/>
        <v>5</v>
      </c>
      <c r="AA5">
        <f t="shared" si="2"/>
        <v>0.4</v>
      </c>
      <c r="AB5">
        <f t="shared" si="2"/>
        <v>0.6</v>
      </c>
      <c r="AC5">
        <f t="shared" si="2"/>
        <v>0</v>
      </c>
      <c r="AD5">
        <f t="shared" si="2"/>
        <v>0</v>
      </c>
      <c r="AE5">
        <f t="shared" si="2"/>
        <v>0</v>
      </c>
      <c r="AF5">
        <f t="shared" si="2"/>
        <v>0</v>
      </c>
      <c r="AG5">
        <f t="shared" si="2"/>
        <v>0</v>
      </c>
      <c r="AH5">
        <f t="shared" si="2"/>
        <v>0</v>
      </c>
      <c r="AI5">
        <f t="shared" si="2"/>
        <v>0</v>
      </c>
      <c r="AJ5">
        <f t="shared" si="2"/>
        <v>0</v>
      </c>
      <c r="AK5">
        <f t="shared" si="3"/>
        <v>0</v>
      </c>
      <c r="AL5">
        <f t="shared" si="3"/>
        <v>0</v>
      </c>
      <c r="AM5">
        <f t="shared" si="3"/>
        <v>0</v>
      </c>
      <c r="AN5">
        <f t="shared" si="3"/>
        <v>0</v>
      </c>
      <c r="AO5">
        <f t="shared" si="3"/>
        <v>0</v>
      </c>
      <c r="AP5">
        <f t="shared" si="3"/>
        <v>0</v>
      </c>
      <c r="AQ5">
        <f t="shared" si="3"/>
        <v>0</v>
      </c>
      <c r="AR5">
        <f t="shared" si="3"/>
        <v>0</v>
      </c>
      <c r="AS5">
        <f t="shared" si="3"/>
        <v>0</v>
      </c>
      <c r="AT5">
        <f t="shared" si="3"/>
        <v>0</v>
      </c>
      <c r="AU5">
        <f t="shared" si="4"/>
        <v>0</v>
      </c>
      <c r="AV5">
        <f t="shared" si="5"/>
        <v>0</v>
      </c>
      <c r="AW5">
        <f t="shared" si="5"/>
        <v>0</v>
      </c>
      <c r="AX5">
        <f t="shared" si="5"/>
        <v>0</v>
      </c>
    </row>
    <row r="6" spans="1:61">
      <c r="A6" t="s">
        <v>71</v>
      </c>
      <c r="B6">
        <v>2</v>
      </c>
      <c r="C6">
        <v>4</v>
      </c>
      <c r="D6">
        <v>0</v>
      </c>
      <c r="E6">
        <v>0</v>
      </c>
      <c r="F6">
        <v>0</v>
      </c>
      <c r="G6">
        <v>0</v>
      </c>
      <c r="H6">
        <v>0</v>
      </c>
      <c r="I6">
        <v>0</v>
      </c>
      <c r="J6">
        <v>0</v>
      </c>
      <c r="K6">
        <v>0</v>
      </c>
      <c r="L6">
        <v>0</v>
      </c>
      <c r="M6">
        <v>0</v>
      </c>
      <c r="N6">
        <v>0</v>
      </c>
      <c r="O6">
        <v>0</v>
      </c>
      <c r="P6">
        <v>0</v>
      </c>
      <c r="Q6">
        <v>0</v>
      </c>
      <c r="R6">
        <v>0</v>
      </c>
      <c r="S6">
        <v>0</v>
      </c>
      <c r="T6">
        <v>0</v>
      </c>
      <c r="U6">
        <v>0</v>
      </c>
      <c r="V6">
        <v>0</v>
      </c>
      <c r="W6">
        <v>0</v>
      </c>
      <c r="X6">
        <v>0</v>
      </c>
      <c r="Y6">
        <v>0</v>
      </c>
      <c r="Z6">
        <f t="shared" si="1"/>
        <v>6</v>
      </c>
      <c r="AA6">
        <f t="shared" si="2"/>
        <v>0.33333333333333331</v>
      </c>
      <c r="AB6">
        <f t="shared" si="2"/>
        <v>0.66666666666666663</v>
      </c>
      <c r="AC6">
        <f t="shared" si="2"/>
        <v>0</v>
      </c>
      <c r="AD6">
        <f t="shared" si="2"/>
        <v>0</v>
      </c>
      <c r="AE6">
        <f t="shared" si="2"/>
        <v>0</v>
      </c>
      <c r="AF6">
        <f t="shared" si="2"/>
        <v>0</v>
      </c>
      <c r="AG6">
        <f t="shared" si="2"/>
        <v>0</v>
      </c>
      <c r="AH6">
        <f t="shared" si="2"/>
        <v>0</v>
      </c>
      <c r="AI6">
        <f t="shared" si="2"/>
        <v>0</v>
      </c>
      <c r="AJ6">
        <f t="shared" si="2"/>
        <v>0</v>
      </c>
      <c r="AK6">
        <f t="shared" si="3"/>
        <v>0</v>
      </c>
      <c r="AL6">
        <f t="shared" si="3"/>
        <v>0</v>
      </c>
      <c r="AM6">
        <f t="shared" si="3"/>
        <v>0</v>
      </c>
      <c r="AN6">
        <f t="shared" si="3"/>
        <v>0</v>
      </c>
      <c r="AO6">
        <f t="shared" si="3"/>
        <v>0</v>
      </c>
      <c r="AP6">
        <f t="shared" si="3"/>
        <v>0</v>
      </c>
      <c r="AQ6">
        <f t="shared" si="3"/>
        <v>0</v>
      </c>
      <c r="AR6">
        <f t="shared" si="3"/>
        <v>0</v>
      </c>
      <c r="AS6">
        <f t="shared" si="3"/>
        <v>0</v>
      </c>
      <c r="AT6">
        <f t="shared" si="3"/>
        <v>0</v>
      </c>
      <c r="AU6">
        <f t="shared" si="4"/>
        <v>0</v>
      </c>
      <c r="AV6">
        <f t="shared" si="5"/>
        <v>0</v>
      </c>
      <c r="AW6">
        <f t="shared" si="5"/>
        <v>0</v>
      </c>
      <c r="AX6">
        <f t="shared" si="5"/>
        <v>0</v>
      </c>
    </row>
    <row r="7" spans="1:61">
      <c r="A7" t="s">
        <v>72</v>
      </c>
      <c r="B7">
        <v>0</v>
      </c>
      <c r="C7">
        <v>0</v>
      </c>
      <c r="D7">
        <v>0</v>
      </c>
      <c r="E7">
        <v>0</v>
      </c>
      <c r="F7">
        <v>0</v>
      </c>
      <c r="G7">
        <v>0</v>
      </c>
      <c r="H7">
        <v>0</v>
      </c>
      <c r="I7">
        <v>0</v>
      </c>
      <c r="J7">
        <v>0</v>
      </c>
      <c r="K7">
        <v>6</v>
      </c>
      <c r="L7">
        <v>0</v>
      </c>
      <c r="M7">
        <v>0</v>
      </c>
      <c r="N7">
        <v>0</v>
      </c>
      <c r="O7">
        <v>0</v>
      </c>
      <c r="P7">
        <v>0</v>
      </c>
      <c r="Q7">
        <v>0</v>
      </c>
      <c r="R7">
        <v>0</v>
      </c>
      <c r="S7">
        <v>0</v>
      </c>
      <c r="T7">
        <v>0</v>
      </c>
      <c r="U7">
        <v>0</v>
      </c>
      <c r="V7">
        <v>0</v>
      </c>
      <c r="W7">
        <v>0</v>
      </c>
      <c r="X7">
        <v>0</v>
      </c>
      <c r="Y7">
        <v>0</v>
      </c>
      <c r="Z7">
        <f t="shared" si="1"/>
        <v>6</v>
      </c>
      <c r="AA7">
        <f t="shared" si="2"/>
        <v>0</v>
      </c>
      <c r="AB7">
        <f t="shared" si="2"/>
        <v>0</v>
      </c>
      <c r="AC7">
        <f t="shared" si="2"/>
        <v>0</v>
      </c>
      <c r="AD7">
        <f t="shared" si="2"/>
        <v>0</v>
      </c>
      <c r="AE7">
        <f t="shared" si="2"/>
        <v>0</v>
      </c>
      <c r="AF7">
        <f t="shared" si="2"/>
        <v>0</v>
      </c>
      <c r="AG7">
        <f t="shared" si="2"/>
        <v>0</v>
      </c>
      <c r="AH7">
        <f t="shared" si="2"/>
        <v>0</v>
      </c>
      <c r="AI7">
        <f t="shared" si="2"/>
        <v>0</v>
      </c>
      <c r="AJ7">
        <f t="shared" si="2"/>
        <v>1</v>
      </c>
      <c r="AK7">
        <f t="shared" si="3"/>
        <v>0</v>
      </c>
      <c r="AL7">
        <f t="shared" si="3"/>
        <v>0</v>
      </c>
      <c r="AM7">
        <f t="shared" si="3"/>
        <v>0</v>
      </c>
      <c r="AN7">
        <f t="shared" si="3"/>
        <v>0</v>
      </c>
      <c r="AO7">
        <f t="shared" si="3"/>
        <v>0</v>
      </c>
      <c r="AP7">
        <f t="shared" si="3"/>
        <v>0</v>
      </c>
      <c r="AQ7">
        <f t="shared" si="3"/>
        <v>0</v>
      </c>
      <c r="AR7">
        <f t="shared" si="3"/>
        <v>0</v>
      </c>
      <c r="AS7">
        <f t="shared" si="3"/>
        <v>0</v>
      </c>
      <c r="AT7">
        <f t="shared" si="3"/>
        <v>0</v>
      </c>
      <c r="AU7">
        <f t="shared" si="4"/>
        <v>0</v>
      </c>
      <c r="AV7">
        <f t="shared" si="5"/>
        <v>0</v>
      </c>
      <c r="AW7">
        <f t="shared" si="5"/>
        <v>0</v>
      </c>
      <c r="AX7">
        <f t="shared" si="5"/>
        <v>0</v>
      </c>
    </row>
    <row r="8" spans="1:61">
      <c r="A8" t="s">
        <v>285</v>
      </c>
      <c r="B8">
        <v>0</v>
      </c>
      <c r="C8">
        <v>0</v>
      </c>
      <c r="D8">
        <v>0</v>
      </c>
      <c r="E8">
        <v>0</v>
      </c>
      <c r="F8">
        <v>0</v>
      </c>
      <c r="G8">
        <v>0</v>
      </c>
      <c r="H8">
        <v>0</v>
      </c>
      <c r="I8">
        <v>0</v>
      </c>
      <c r="J8">
        <v>0</v>
      </c>
      <c r="K8">
        <v>0</v>
      </c>
      <c r="L8">
        <v>0</v>
      </c>
      <c r="M8">
        <v>0</v>
      </c>
      <c r="N8">
        <v>0</v>
      </c>
      <c r="P8">
        <v>0</v>
      </c>
      <c r="Q8">
        <v>1</v>
      </c>
      <c r="R8">
        <v>0</v>
      </c>
      <c r="S8">
        <v>0</v>
      </c>
      <c r="T8">
        <v>0</v>
      </c>
      <c r="U8">
        <v>0</v>
      </c>
      <c r="V8">
        <v>0</v>
      </c>
      <c r="W8">
        <v>0</v>
      </c>
      <c r="X8">
        <v>0</v>
      </c>
      <c r="Y8">
        <v>0</v>
      </c>
      <c r="Z8">
        <f t="shared" si="1"/>
        <v>1</v>
      </c>
      <c r="AA8">
        <f t="shared" si="2"/>
        <v>0</v>
      </c>
      <c r="AB8">
        <f t="shared" si="2"/>
        <v>0</v>
      </c>
      <c r="AC8">
        <f t="shared" si="2"/>
        <v>0</v>
      </c>
      <c r="AD8">
        <f t="shared" si="2"/>
        <v>0</v>
      </c>
      <c r="AE8">
        <f t="shared" si="2"/>
        <v>0</v>
      </c>
      <c r="AF8">
        <f t="shared" si="2"/>
        <v>0</v>
      </c>
      <c r="AG8">
        <f t="shared" si="2"/>
        <v>0</v>
      </c>
      <c r="AH8">
        <f t="shared" si="2"/>
        <v>0</v>
      </c>
      <c r="AI8">
        <f t="shared" si="2"/>
        <v>0</v>
      </c>
      <c r="AJ8">
        <f t="shared" si="2"/>
        <v>0</v>
      </c>
      <c r="AK8">
        <f t="shared" si="3"/>
        <v>0</v>
      </c>
      <c r="AL8">
        <f t="shared" si="3"/>
        <v>0</v>
      </c>
      <c r="AM8">
        <f t="shared" si="3"/>
        <v>0</v>
      </c>
      <c r="AN8">
        <f t="shared" si="3"/>
        <v>0</v>
      </c>
      <c r="AO8">
        <f t="shared" si="3"/>
        <v>0</v>
      </c>
      <c r="AP8">
        <f t="shared" si="3"/>
        <v>1</v>
      </c>
      <c r="AQ8">
        <f t="shared" si="3"/>
        <v>0</v>
      </c>
      <c r="AR8">
        <f t="shared" si="3"/>
        <v>0</v>
      </c>
      <c r="AS8">
        <f t="shared" si="3"/>
        <v>0</v>
      </c>
      <c r="AT8">
        <f t="shared" si="3"/>
        <v>0</v>
      </c>
      <c r="AU8">
        <f t="shared" si="4"/>
        <v>0</v>
      </c>
      <c r="AV8">
        <f t="shared" si="5"/>
        <v>0</v>
      </c>
      <c r="AW8">
        <f t="shared" si="5"/>
        <v>0</v>
      </c>
      <c r="AX8">
        <f t="shared" si="5"/>
        <v>0</v>
      </c>
    </row>
    <row r="9" spans="1:61">
      <c r="A9" t="s">
        <v>286</v>
      </c>
      <c r="B9">
        <v>0</v>
      </c>
      <c r="C9">
        <v>0</v>
      </c>
      <c r="D9">
        <v>0</v>
      </c>
      <c r="E9">
        <v>0</v>
      </c>
      <c r="F9">
        <v>0</v>
      </c>
      <c r="G9">
        <v>0</v>
      </c>
      <c r="H9">
        <v>0</v>
      </c>
      <c r="I9">
        <v>0</v>
      </c>
      <c r="J9">
        <v>0</v>
      </c>
      <c r="K9">
        <v>0</v>
      </c>
      <c r="L9">
        <v>0</v>
      </c>
      <c r="M9">
        <v>0</v>
      </c>
      <c r="N9">
        <v>1</v>
      </c>
      <c r="O9">
        <v>0</v>
      </c>
      <c r="P9">
        <v>0</v>
      </c>
      <c r="Q9">
        <v>0</v>
      </c>
      <c r="R9">
        <v>0</v>
      </c>
      <c r="S9">
        <v>0</v>
      </c>
      <c r="T9">
        <v>0</v>
      </c>
      <c r="U9">
        <v>0</v>
      </c>
      <c r="V9">
        <v>0</v>
      </c>
      <c r="W9">
        <v>0</v>
      </c>
      <c r="X9">
        <v>0</v>
      </c>
      <c r="Y9">
        <v>0</v>
      </c>
      <c r="Z9">
        <f t="shared" si="1"/>
        <v>1</v>
      </c>
      <c r="AA9">
        <f t="shared" si="2"/>
        <v>0</v>
      </c>
      <c r="AB9">
        <f t="shared" si="2"/>
        <v>0</v>
      </c>
      <c r="AC9">
        <f t="shared" si="2"/>
        <v>0</v>
      </c>
      <c r="AD9">
        <f t="shared" si="2"/>
        <v>0</v>
      </c>
      <c r="AE9">
        <f t="shared" si="2"/>
        <v>0</v>
      </c>
      <c r="AF9">
        <f t="shared" si="2"/>
        <v>0</v>
      </c>
      <c r="AG9">
        <f t="shared" si="2"/>
        <v>0</v>
      </c>
      <c r="AH9">
        <f t="shared" si="2"/>
        <v>0</v>
      </c>
      <c r="AI9">
        <f t="shared" si="2"/>
        <v>0</v>
      </c>
      <c r="AJ9">
        <f t="shared" si="2"/>
        <v>0</v>
      </c>
      <c r="AK9">
        <f t="shared" si="3"/>
        <v>0</v>
      </c>
      <c r="AL9">
        <f t="shared" si="3"/>
        <v>0</v>
      </c>
      <c r="AM9">
        <f t="shared" si="3"/>
        <v>1</v>
      </c>
      <c r="AN9">
        <f t="shared" si="3"/>
        <v>0</v>
      </c>
      <c r="AO9">
        <f t="shared" si="3"/>
        <v>0</v>
      </c>
      <c r="AP9">
        <f t="shared" si="3"/>
        <v>0</v>
      </c>
      <c r="AQ9">
        <f t="shared" si="3"/>
        <v>0</v>
      </c>
      <c r="AR9">
        <f t="shared" si="3"/>
        <v>0</v>
      </c>
      <c r="AS9">
        <f t="shared" si="3"/>
        <v>0</v>
      </c>
      <c r="AT9">
        <f t="shared" si="3"/>
        <v>0</v>
      </c>
      <c r="AU9">
        <f t="shared" si="4"/>
        <v>0</v>
      </c>
      <c r="AV9">
        <f t="shared" si="5"/>
        <v>0</v>
      </c>
      <c r="AW9">
        <f t="shared" si="5"/>
        <v>0</v>
      </c>
      <c r="AX9">
        <f t="shared" si="5"/>
        <v>0</v>
      </c>
    </row>
    <row r="15" spans="1:61">
      <c r="BI15" t="s">
        <v>287</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G8"/>
  <sheetViews>
    <sheetView topLeftCell="B1" workbookViewId="0">
      <selection activeCell="D10" sqref="D10"/>
    </sheetView>
  </sheetViews>
  <sheetFormatPr defaultColWidth="11.19921875" defaultRowHeight="15.6"/>
  <cols>
    <col min="2" max="4" width="12.69921875" bestFit="1" customWidth="1"/>
  </cols>
  <sheetData>
    <row r="1" spans="1:7">
      <c r="A1" t="s">
        <v>288</v>
      </c>
    </row>
    <row r="2" spans="1:7">
      <c r="B2">
        <v>1</v>
      </c>
      <c r="C2">
        <v>2</v>
      </c>
      <c r="D2">
        <v>3</v>
      </c>
      <c r="E2">
        <v>4</v>
      </c>
      <c r="F2">
        <v>5</v>
      </c>
      <c r="G2">
        <v>6</v>
      </c>
    </row>
    <row r="3" spans="1:7">
      <c r="A3">
        <v>1</v>
      </c>
      <c r="B3" t="e">
        <f ca="1">BIPCalc($A3,B$2,a_iVal, b_iVal, AlphaVal2, A_BIPC, B_BIPC, C_BIPC, D_BIPC, E_BIPC, Wilson!$C$5, COUNTA(Chemicals))</f>
        <v>#NAME?</v>
      </c>
      <c r="C3" t="e">
        <f ca="1">BIPCalc(C$2,$A3,a_iVal, b_iVal, AlphaVal2, A_BIPC, B_BIPC, C_BIPC, D_BIPC, E_BIPC, Wilson!$C$5, COUNTA(Chemicals))</f>
        <v>#NAME?</v>
      </c>
      <c r="D3" t="e">
        <f ca="1">BIPCalc(D$2,$A3,a_iVal, b_iVal, AlphaVal2, A_BIPC, B_BIPC, C_BIPC, D_BIPC, E_BIPC, Wilson!$C$5, COUNTA(Chemicals))</f>
        <v>#NAME?</v>
      </c>
      <c r="E3" t="e">
        <f ca="1">BIPCalc(E$2,$A3,a_iVal, b_iVal, AlphaVal2, A_BIPC, B_BIPC, C_BIPC, D_BIPC, E_BIPC, Wilson!$C$5, COUNTA(Chemicals))</f>
        <v>#NAME?</v>
      </c>
      <c r="F3" t="e">
        <f ca="1">BIPCalc(F$2,$A3,a_iVal, b_iVal, AlphaVal2, A_BIPC, B_BIPC, C_BIPC, D_BIPC, E_BIPC, Wilson!$C$5, COUNTA(Chemicals))</f>
        <v>#NAME?</v>
      </c>
      <c r="G3" t="e">
        <f ca="1">BIPCalc(G$2,$A3,a_iVal, b_iVal, AlphaVal2, A_BIPC, B_BIPC, C_BIPC, D_BIPC, E_BIPC, Wilson!$C$5, COUNTA(Chemicals))</f>
        <v>#NAME?</v>
      </c>
    </row>
    <row r="4" spans="1:7">
      <c r="A4">
        <v>2</v>
      </c>
      <c r="B4" t="e">
        <f ca="1">BIPCalc($A4,B$2,a_iVal, b_iVal, AlphaVal2, A_BIPC, B_BIPC, C_BIPC, D_BIPC, E_BIPC, Wilson!$C$5, COUNTA(Chemicals))</f>
        <v>#NAME?</v>
      </c>
      <c r="C4" t="e">
        <f ca="1">BIPCalc($A4,C$2,a_iVal, b_iVal, AlphaVal2, A_BIPC, B_BIPC, C_BIPC, D_BIPC, E_BIPC, Wilson!$C$5, COUNTA(Chemicals))</f>
        <v>#NAME?</v>
      </c>
      <c r="D4" t="e">
        <f ca="1">BIPCalc(D$2,$A4,a_iVal, b_iVal, AlphaVal2, A_BIPC, B_BIPC, C_BIPC, D_BIPC, E_BIPC, Wilson!$C$5, COUNTA(Chemicals))</f>
        <v>#NAME?</v>
      </c>
      <c r="E4" t="e">
        <f ca="1">BIPCalc(E$2,$A4,a_iVal, b_iVal, AlphaVal2, A_BIPC, B_BIPC, C_BIPC, D_BIPC, E_BIPC, Wilson!$C$5, COUNTA(Chemicals))</f>
        <v>#NAME?</v>
      </c>
      <c r="F4" t="e">
        <f ca="1">BIPCalc(F$2,$A4,a_iVal, b_iVal, AlphaVal2, A_BIPC, B_BIPC, C_BIPC, D_BIPC, E_BIPC, Wilson!$C$5, COUNTA(Chemicals))</f>
        <v>#NAME?</v>
      </c>
      <c r="G4" t="e">
        <f ca="1">BIPCalc(G$2,$A4,a_iVal, b_iVal, AlphaVal2, A_BIPC, B_BIPC, C_BIPC, D_BIPC, E_BIPC, Wilson!$C$5, COUNTA(Chemicals))</f>
        <v>#NAME?</v>
      </c>
    </row>
    <row r="5" spans="1:7">
      <c r="A5">
        <v>3</v>
      </c>
      <c r="B5" t="e">
        <f ca="1">BIPCalc($A5,B$2,a_iVal, b_iVal, AlphaVal2, A_BIPC, B_BIPC, C_BIPC, D_BIPC, E_BIPC, Wilson!$C$5, COUNTA(Chemicals))</f>
        <v>#NAME?</v>
      </c>
      <c r="C5" t="e">
        <f ca="1">BIPCalc($A5,C$2,a_iVal, b_iVal, AlphaVal2, A_BIPC, B_BIPC, C_BIPC, D_BIPC, E_BIPC, Wilson!$C$5, COUNTA(Chemicals))</f>
        <v>#NAME?</v>
      </c>
      <c r="D5" t="e">
        <f ca="1">BIPCalc($A5,D$2,a_iVal, b_iVal, AlphaVal2, A_BIPC, B_BIPC, C_BIPC, D_BIPC, E_BIPC, Wilson!$C$5, COUNTA(Chemicals))</f>
        <v>#NAME?</v>
      </c>
      <c r="E5" t="e">
        <f ca="1">BIPCalc(E$2,$A5,a_iVal, b_iVal, AlphaVal2, A_BIPC, B_BIPC, C_BIPC, D_BIPC, E_BIPC, Wilson!$C$5, COUNTA(Chemicals))</f>
        <v>#NAME?</v>
      </c>
      <c r="F5" t="e">
        <f ca="1">BIPCalc(F$2,$A5,a_iVal, b_iVal, AlphaVal2, A_BIPC, B_BIPC, C_BIPC, D_BIPC, E_BIPC, Wilson!$C$5, COUNTA(Chemicals))</f>
        <v>#NAME?</v>
      </c>
      <c r="G5" t="e">
        <f ca="1">BIPCalc(G$2,$A5,a_iVal, b_iVal, AlphaVal2, A_BIPC, B_BIPC, C_BIPC, D_BIPC, E_BIPC, Wilson!$C$5, COUNTA(Chemicals))</f>
        <v>#NAME?</v>
      </c>
    </row>
    <row r="6" spans="1:7">
      <c r="A6">
        <v>4</v>
      </c>
      <c r="B6" t="e">
        <f ca="1">BIPCalc($A6,B$2,a_iVal, b_iVal, AlphaVal2, A_BIPC, B_BIPC, C_BIPC, D_BIPC, E_BIPC, Wilson!$C$5, COUNTA(Chemicals))</f>
        <v>#NAME?</v>
      </c>
      <c r="C6" t="e">
        <f ca="1">BIPCalc($A6,C$2,a_iVal, b_iVal, AlphaVal2, A_BIPC, B_BIPC, C_BIPC, D_BIPC, E_BIPC, Wilson!$C$5, COUNTA(Chemicals))</f>
        <v>#NAME?</v>
      </c>
      <c r="D6" t="e">
        <f ca="1">BIPCalc($A6,D$2,a_iVal, b_iVal, AlphaVal2, A_BIPC, B_BIPC, C_BIPC, D_BIPC, E_BIPC, Wilson!$C$5, COUNTA(Chemicals))</f>
        <v>#NAME?</v>
      </c>
      <c r="E6" t="e">
        <f ca="1">BIPCalc($A6,E$2,a_iVal, b_iVal, AlphaVal2, A_BIPC, B_BIPC, C_BIPC, D_BIPC, E_BIPC, Wilson!$C$5, COUNTA(Chemicals))</f>
        <v>#NAME?</v>
      </c>
      <c r="F6" t="e">
        <f ca="1">BIPCalc(F$2,$A6,a_iVal, b_iVal, AlphaVal2, A_BIPC, B_BIPC, C_BIPC, D_BIPC, E_BIPC, Wilson!$C$5, COUNTA(Chemicals))</f>
        <v>#NAME?</v>
      </c>
      <c r="G6" t="e">
        <f ca="1">BIPCalc(G$2,$A6,a_iVal, b_iVal, AlphaVal2, A_BIPC, B_BIPC, C_BIPC, D_BIPC, E_BIPC, Wilson!$C$5, COUNTA(Chemicals))</f>
        <v>#NAME?</v>
      </c>
    </row>
    <row r="7" spans="1:7">
      <c r="A7">
        <v>5</v>
      </c>
      <c r="B7" t="e">
        <f ca="1">BIPCalc($A7,B$2,a_iVal, b_iVal, AlphaVal2, A_BIPC, B_BIPC, C_BIPC, D_BIPC, E_BIPC, Wilson!$C$5, COUNTA(Chemicals))</f>
        <v>#NAME?</v>
      </c>
      <c r="C7" t="e">
        <f ca="1">BIPCalc($A7,C$2,a_iVal, b_iVal, AlphaVal2, A_BIPC, B_BIPC, C_BIPC, D_BIPC, E_BIPC, Wilson!$C$5, COUNTA(Chemicals))</f>
        <v>#NAME?</v>
      </c>
      <c r="D7" t="e">
        <f ca="1">BIPCalc($A7,D$2,a_iVal, b_iVal, AlphaVal2, A_BIPC, B_BIPC, C_BIPC, D_BIPC, E_BIPC, Wilson!$C$5, COUNTA(Chemicals))</f>
        <v>#NAME?</v>
      </c>
      <c r="E7" t="e">
        <f ca="1">BIPCalc($A7,E$2,a_iVal, b_iVal, AlphaVal2, A_BIPC, B_BIPC, C_BIPC, D_BIPC, E_BIPC, Wilson!$C$5, COUNTA(Chemicals))</f>
        <v>#NAME?</v>
      </c>
      <c r="F7" t="e">
        <f ca="1">BIPCalc($A7,F$2,a_iVal, b_iVal, AlphaVal2, A_BIPC, B_BIPC, C_BIPC, D_BIPC, E_BIPC, Wilson!$C$5, COUNTA(Chemicals))</f>
        <v>#NAME?</v>
      </c>
      <c r="G7" t="e">
        <f ca="1">BIPCalc(G$2,$A7,a_iVal, b_iVal, AlphaVal2, A_BIPC, B_BIPC, C_BIPC, D_BIPC, E_BIPC, Wilson!$C$5, COUNTA(Chemicals))</f>
        <v>#NAME?</v>
      </c>
    </row>
    <row r="8" spans="1:7">
      <c r="A8">
        <v>6</v>
      </c>
      <c r="B8" t="e">
        <f ca="1">BIPCalc($A8,B$2,a_iVal, b_iVal, AlphaVal2, A_BIPC, B_BIPC, C_BIPC, D_BIPC, E_BIPC, Wilson!$C$5, COUNTA(Chemicals))</f>
        <v>#NAME?</v>
      </c>
      <c r="C8" t="e">
        <f ca="1">BIPCalc($A8,C$2,a_iVal, b_iVal, AlphaVal2, A_BIPC, B_BIPC, C_BIPC, D_BIPC, E_BIPC, Wilson!$C$5, COUNTA(Chemicals))</f>
        <v>#NAME?</v>
      </c>
      <c r="D8" t="e">
        <f ca="1">BIPCalc($A8,D$2,a_iVal, b_iVal, AlphaVal2, A_BIPC, B_BIPC, C_BIPC, D_BIPC, E_BIPC, Wilson!$C$5, COUNTA(Chemicals))</f>
        <v>#NAME?</v>
      </c>
      <c r="E8" t="e">
        <f ca="1">BIPCalc($A8,E$2,a_iVal, b_iVal, AlphaVal2, A_BIPC, B_BIPC, C_BIPC, D_BIPC, E_BIPC, Wilson!$C$5, COUNTA(Chemicals))</f>
        <v>#NAME?</v>
      </c>
      <c r="F8" t="e">
        <f ca="1">BIPCalc($A8,F$2,a_iVal, b_iVal, AlphaVal2, A_BIPC, B_BIPC, C_BIPC, D_BIPC, E_BIPC, Wilson!$C$5, COUNTA(Chemicals))</f>
        <v>#NAME?</v>
      </c>
      <c r="G8" t="e">
        <f ca="1">BIPCalc($A8,G$2,a_iVal, b_iVal, AlphaVal2, A_BIPC, B_BIPC, C_BIPC, D_BIPC, E_BIPC, Wilson!$C$5, COUNTA(Chemicals))</f>
        <v>#NAME?</v>
      </c>
    </row>
  </sheetData>
  <pageMargins left="0.75" right="0.75" top="1" bottom="1" header="0.5" footer="0.5"/>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S19"/>
  <sheetViews>
    <sheetView zoomScale="85" zoomScaleNormal="85" zoomScalePageLayoutView="85" workbookViewId="0">
      <selection activeCell="F28" sqref="F28"/>
    </sheetView>
  </sheetViews>
  <sheetFormatPr defaultColWidth="8.796875" defaultRowHeight="15.6"/>
  <sheetData>
    <row r="1" spans="1:19">
      <c r="B1">
        <v>1</v>
      </c>
      <c r="C1">
        <f>B1+1</f>
        <v>2</v>
      </c>
      <c r="D1">
        <f t="shared" ref="D1:Q1" si="0">C1+1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v>17</v>
      </c>
      <c r="S1">
        <v>18</v>
      </c>
    </row>
    <row r="2" spans="1:19">
      <c r="A2">
        <v>1</v>
      </c>
      <c r="B2">
        <v>0</v>
      </c>
      <c r="C2">
        <v>0</v>
      </c>
      <c r="D2">
        <v>0</v>
      </c>
      <c r="E2">
        <v>0</v>
      </c>
      <c r="F2">
        <v>0</v>
      </c>
      <c r="G2">
        <v>0</v>
      </c>
      <c r="H2">
        <v>0</v>
      </c>
      <c r="I2">
        <v>0</v>
      </c>
      <c r="J2">
        <v>0</v>
      </c>
      <c r="K2">
        <v>0</v>
      </c>
      <c r="L2">
        <v>0</v>
      </c>
      <c r="M2">
        <v>0</v>
      </c>
      <c r="N2">
        <v>0</v>
      </c>
      <c r="O2">
        <v>0</v>
      </c>
      <c r="P2">
        <v>0</v>
      </c>
      <c r="Q2">
        <v>0</v>
      </c>
      <c r="R2">
        <v>0</v>
      </c>
      <c r="S2">
        <v>0</v>
      </c>
    </row>
    <row r="3" spans="1:19">
      <c r="A3">
        <f>A2+1</f>
        <v>2</v>
      </c>
      <c r="B3">
        <v>0</v>
      </c>
      <c r="C3">
        <v>0</v>
      </c>
      <c r="D3">
        <v>0</v>
      </c>
      <c r="E3">
        <v>0</v>
      </c>
      <c r="F3">
        <v>0</v>
      </c>
      <c r="G3">
        <v>0</v>
      </c>
      <c r="H3">
        <v>2.1000000000000001E-2</v>
      </c>
      <c r="I3">
        <v>3.0000000000000001E-3</v>
      </c>
      <c r="J3">
        <v>8.0000000000000002E-3</v>
      </c>
      <c r="K3">
        <v>2.1999999999999999E-2</v>
      </c>
      <c r="L3">
        <v>0</v>
      </c>
      <c r="M3">
        <v>0</v>
      </c>
      <c r="N3">
        <v>0</v>
      </c>
      <c r="O3">
        <v>0</v>
      </c>
      <c r="P3">
        <v>0</v>
      </c>
      <c r="Q3">
        <v>0</v>
      </c>
      <c r="R3">
        <v>0</v>
      </c>
      <c r="S3">
        <v>0</v>
      </c>
    </row>
    <row r="4" spans="1:19">
      <c r="A4">
        <f t="shared" ref="A4:A19" si="1">A3+1</f>
        <v>3</v>
      </c>
      <c r="B4">
        <v>0</v>
      </c>
      <c r="C4">
        <v>0</v>
      </c>
      <c r="D4">
        <v>0</v>
      </c>
      <c r="E4">
        <v>0</v>
      </c>
      <c r="F4">
        <v>0</v>
      </c>
      <c r="G4">
        <v>0</v>
      </c>
      <c r="H4">
        <v>0</v>
      </c>
      <c r="I4">
        <v>0</v>
      </c>
      <c r="J4">
        <v>0</v>
      </c>
      <c r="K4">
        <v>0</v>
      </c>
      <c r="L4">
        <v>0</v>
      </c>
      <c r="M4">
        <v>0</v>
      </c>
      <c r="N4">
        <v>0</v>
      </c>
      <c r="O4">
        <v>0</v>
      </c>
      <c r="P4">
        <v>0</v>
      </c>
      <c r="Q4">
        <v>0</v>
      </c>
      <c r="R4">
        <v>0</v>
      </c>
      <c r="S4">
        <v>0</v>
      </c>
    </row>
    <row r="5" spans="1:19">
      <c r="A5">
        <f t="shared" si="1"/>
        <v>4</v>
      </c>
      <c r="B5">
        <v>0</v>
      </c>
      <c r="C5">
        <v>0</v>
      </c>
      <c r="D5">
        <v>0</v>
      </c>
      <c r="E5">
        <v>0</v>
      </c>
      <c r="F5">
        <v>0</v>
      </c>
      <c r="G5">
        <v>0</v>
      </c>
      <c r="H5">
        <v>0</v>
      </c>
      <c r="I5">
        <v>0</v>
      </c>
      <c r="J5">
        <v>0</v>
      </c>
      <c r="K5">
        <v>0</v>
      </c>
      <c r="L5">
        <v>0</v>
      </c>
      <c r="M5">
        <v>0</v>
      </c>
      <c r="N5">
        <v>0</v>
      </c>
      <c r="O5">
        <v>0</v>
      </c>
      <c r="P5">
        <v>0</v>
      </c>
      <c r="Q5">
        <v>0</v>
      </c>
      <c r="R5">
        <v>0</v>
      </c>
      <c r="S5">
        <v>0</v>
      </c>
    </row>
    <row r="6" spans="1:19">
      <c r="A6">
        <f t="shared" si="1"/>
        <v>5</v>
      </c>
      <c r="B6">
        <v>0</v>
      </c>
      <c r="C6">
        <v>0</v>
      </c>
      <c r="D6">
        <v>0</v>
      </c>
      <c r="E6">
        <v>0</v>
      </c>
      <c r="F6">
        <v>0</v>
      </c>
      <c r="G6">
        <v>0</v>
      </c>
      <c r="H6">
        <v>0</v>
      </c>
      <c r="I6">
        <v>0</v>
      </c>
      <c r="J6">
        <v>0</v>
      </c>
      <c r="K6">
        <v>0</v>
      </c>
      <c r="L6">
        <v>0</v>
      </c>
      <c r="M6">
        <v>0</v>
      </c>
      <c r="N6">
        <v>0</v>
      </c>
      <c r="O6">
        <v>0</v>
      </c>
      <c r="P6">
        <v>0</v>
      </c>
      <c r="Q6">
        <v>0</v>
      </c>
      <c r="R6">
        <v>0</v>
      </c>
      <c r="S6">
        <v>0</v>
      </c>
    </row>
    <row r="7" spans="1:19">
      <c r="A7">
        <f t="shared" si="1"/>
        <v>6</v>
      </c>
      <c r="B7">
        <v>0</v>
      </c>
      <c r="C7">
        <v>0</v>
      </c>
      <c r="D7">
        <v>0</v>
      </c>
      <c r="E7">
        <v>0</v>
      </c>
      <c r="F7">
        <v>0</v>
      </c>
      <c r="G7">
        <v>0</v>
      </c>
      <c r="H7">
        <v>0</v>
      </c>
      <c r="I7">
        <v>0</v>
      </c>
      <c r="J7">
        <v>0</v>
      </c>
      <c r="K7">
        <v>0</v>
      </c>
      <c r="L7">
        <v>0</v>
      </c>
      <c r="M7">
        <v>0</v>
      </c>
      <c r="N7">
        <v>0</v>
      </c>
      <c r="O7">
        <v>0</v>
      </c>
      <c r="P7">
        <v>0</v>
      </c>
      <c r="Q7">
        <v>0</v>
      </c>
      <c r="R7">
        <v>0</v>
      </c>
      <c r="S7">
        <v>0</v>
      </c>
    </row>
    <row r="8" spans="1:19">
      <c r="A8">
        <f t="shared" si="1"/>
        <v>7</v>
      </c>
      <c r="B8">
        <v>0</v>
      </c>
      <c r="C8">
        <v>2.1000000000000001E-2</v>
      </c>
      <c r="D8">
        <v>0</v>
      </c>
      <c r="E8">
        <v>0</v>
      </c>
      <c r="F8">
        <v>0</v>
      </c>
      <c r="G8">
        <v>0</v>
      </c>
      <c r="H8">
        <v>0</v>
      </c>
      <c r="I8">
        <v>8.9999999999999993E-3</v>
      </c>
      <c r="J8">
        <v>5.1999999999999998E-2</v>
      </c>
      <c r="K8">
        <v>0.08</v>
      </c>
      <c r="L8">
        <v>0</v>
      </c>
      <c r="M8">
        <v>0</v>
      </c>
      <c r="N8">
        <v>0</v>
      </c>
      <c r="O8">
        <v>0</v>
      </c>
      <c r="P8">
        <v>0</v>
      </c>
      <c r="Q8">
        <v>0</v>
      </c>
      <c r="R8">
        <v>0</v>
      </c>
      <c r="S8">
        <v>0</v>
      </c>
    </row>
    <row r="9" spans="1:19">
      <c r="A9">
        <f t="shared" si="1"/>
        <v>8</v>
      </c>
      <c r="B9">
        <v>0</v>
      </c>
      <c r="C9">
        <v>3.0000000000000001E-3</v>
      </c>
      <c r="D9">
        <v>0</v>
      </c>
      <c r="E9">
        <v>0</v>
      </c>
      <c r="F9">
        <v>0</v>
      </c>
      <c r="G9">
        <v>0</v>
      </c>
      <c r="H9">
        <v>8.9999999999999993E-3</v>
      </c>
      <c r="I9">
        <v>0</v>
      </c>
      <c r="J9">
        <v>1.9E-2</v>
      </c>
      <c r="K9">
        <v>3.9E-2</v>
      </c>
      <c r="L9">
        <v>0</v>
      </c>
      <c r="M9">
        <v>0</v>
      </c>
      <c r="N9">
        <v>0</v>
      </c>
      <c r="O9">
        <v>0</v>
      </c>
      <c r="P9">
        <v>0</v>
      </c>
      <c r="Q9">
        <v>0</v>
      </c>
      <c r="R9">
        <v>0</v>
      </c>
      <c r="S9">
        <v>0</v>
      </c>
    </row>
    <row r="10" spans="1:19">
      <c r="A10">
        <f t="shared" si="1"/>
        <v>9</v>
      </c>
      <c r="B10">
        <v>0</v>
      </c>
      <c r="C10">
        <v>8.0000000000000002E-3</v>
      </c>
      <c r="D10">
        <v>0</v>
      </c>
      <c r="E10">
        <v>0</v>
      </c>
      <c r="F10">
        <v>0</v>
      </c>
      <c r="G10">
        <v>0</v>
      </c>
      <c r="H10">
        <v>5.1999999999999998E-2</v>
      </c>
      <c r="I10">
        <v>1.9E-2</v>
      </c>
      <c r="J10">
        <v>0</v>
      </c>
      <c r="K10">
        <v>4.0000000000000001E-3</v>
      </c>
      <c r="L10">
        <v>0</v>
      </c>
      <c r="M10">
        <v>0</v>
      </c>
      <c r="N10">
        <v>0</v>
      </c>
      <c r="O10">
        <v>0</v>
      </c>
      <c r="P10">
        <v>0</v>
      </c>
      <c r="Q10">
        <v>0</v>
      </c>
      <c r="R10">
        <v>0</v>
      </c>
      <c r="S10">
        <v>0</v>
      </c>
    </row>
    <row r="11" spans="1:19">
      <c r="A11">
        <f t="shared" si="1"/>
        <v>10</v>
      </c>
      <c r="B11">
        <v>0</v>
      </c>
      <c r="C11">
        <v>2.1999999999999999E-2</v>
      </c>
      <c r="D11">
        <v>0</v>
      </c>
      <c r="E11">
        <v>0</v>
      </c>
      <c r="F11">
        <v>0</v>
      </c>
      <c r="G11">
        <v>0</v>
      </c>
      <c r="H11">
        <v>0.08</v>
      </c>
      <c r="I11">
        <v>3.9E-2</v>
      </c>
      <c r="J11">
        <v>4.0000000000000001E-3</v>
      </c>
      <c r="K11">
        <v>0</v>
      </c>
      <c r="L11">
        <v>0</v>
      </c>
      <c r="M11">
        <v>0</v>
      </c>
      <c r="N11">
        <v>0</v>
      </c>
      <c r="O11">
        <v>0</v>
      </c>
      <c r="P11">
        <v>0</v>
      </c>
      <c r="Q11">
        <v>0</v>
      </c>
      <c r="R11">
        <v>0</v>
      </c>
      <c r="S11">
        <v>0</v>
      </c>
    </row>
    <row r="12" spans="1:19">
      <c r="A12">
        <f t="shared" si="1"/>
        <v>11</v>
      </c>
      <c r="B12">
        <v>0</v>
      </c>
      <c r="C12">
        <v>0</v>
      </c>
      <c r="D12">
        <v>0</v>
      </c>
      <c r="E12">
        <v>0</v>
      </c>
      <c r="F12">
        <v>0</v>
      </c>
      <c r="G12">
        <v>0</v>
      </c>
      <c r="H12">
        <v>0</v>
      </c>
      <c r="I12">
        <v>0</v>
      </c>
      <c r="J12">
        <v>0</v>
      </c>
      <c r="K12">
        <v>0</v>
      </c>
      <c r="L12">
        <v>0</v>
      </c>
      <c r="M12">
        <v>0</v>
      </c>
      <c r="N12">
        <v>0</v>
      </c>
      <c r="O12">
        <v>0</v>
      </c>
      <c r="P12">
        <v>0</v>
      </c>
      <c r="Q12">
        <v>0</v>
      </c>
      <c r="R12">
        <v>0</v>
      </c>
      <c r="S12">
        <v>0</v>
      </c>
    </row>
    <row r="13" spans="1:19">
      <c r="A13">
        <f t="shared" si="1"/>
        <v>12</v>
      </c>
      <c r="B13">
        <v>0</v>
      </c>
      <c r="C13">
        <v>0</v>
      </c>
      <c r="D13">
        <v>0</v>
      </c>
      <c r="E13">
        <v>0</v>
      </c>
      <c r="F13">
        <v>0</v>
      </c>
      <c r="G13">
        <v>0</v>
      </c>
      <c r="H13">
        <v>0</v>
      </c>
      <c r="I13">
        <v>0</v>
      </c>
      <c r="J13">
        <v>0</v>
      </c>
      <c r="K13">
        <v>0</v>
      </c>
      <c r="L13">
        <v>0</v>
      </c>
      <c r="M13">
        <v>0</v>
      </c>
      <c r="N13">
        <v>0</v>
      </c>
      <c r="O13">
        <v>0</v>
      </c>
      <c r="P13">
        <v>0</v>
      </c>
      <c r="Q13">
        <v>0</v>
      </c>
      <c r="R13">
        <v>0</v>
      </c>
      <c r="S13">
        <v>0</v>
      </c>
    </row>
    <row r="14" spans="1:19">
      <c r="A14">
        <f t="shared" si="1"/>
        <v>13</v>
      </c>
      <c r="B14">
        <v>0</v>
      </c>
      <c r="C14">
        <v>0</v>
      </c>
      <c r="D14">
        <v>0</v>
      </c>
      <c r="E14">
        <v>0</v>
      </c>
      <c r="F14">
        <v>0</v>
      </c>
      <c r="G14">
        <v>0</v>
      </c>
      <c r="H14">
        <v>0</v>
      </c>
      <c r="I14">
        <v>0</v>
      </c>
      <c r="J14">
        <v>0</v>
      </c>
      <c r="K14">
        <v>0</v>
      </c>
      <c r="L14">
        <v>0</v>
      </c>
      <c r="M14">
        <v>0</v>
      </c>
      <c r="N14">
        <v>0</v>
      </c>
      <c r="O14">
        <v>0</v>
      </c>
      <c r="P14">
        <v>0</v>
      </c>
      <c r="Q14">
        <v>0</v>
      </c>
      <c r="R14">
        <v>0</v>
      </c>
      <c r="S14">
        <v>0</v>
      </c>
    </row>
    <row r="15" spans="1:19">
      <c r="A15">
        <f t="shared" si="1"/>
        <v>14</v>
      </c>
      <c r="B15">
        <v>0</v>
      </c>
      <c r="C15">
        <v>0</v>
      </c>
      <c r="D15">
        <v>0</v>
      </c>
      <c r="E15">
        <v>0</v>
      </c>
      <c r="F15">
        <v>0</v>
      </c>
      <c r="G15">
        <v>0</v>
      </c>
      <c r="H15">
        <v>0</v>
      </c>
      <c r="I15">
        <v>0</v>
      </c>
      <c r="J15">
        <v>0</v>
      </c>
      <c r="K15">
        <v>0</v>
      </c>
      <c r="L15">
        <v>0</v>
      </c>
      <c r="M15">
        <v>0</v>
      </c>
      <c r="N15">
        <v>0</v>
      </c>
      <c r="O15">
        <v>0</v>
      </c>
      <c r="P15">
        <v>0</v>
      </c>
      <c r="Q15">
        <v>0</v>
      </c>
      <c r="R15">
        <v>0</v>
      </c>
      <c r="S15">
        <v>0</v>
      </c>
    </row>
    <row r="16" spans="1:19">
      <c r="A16">
        <f t="shared" si="1"/>
        <v>15</v>
      </c>
      <c r="B16">
        <v>0</v>
      </c>
      <c r="C16">
        <v>0</v>
      </c>
      <c r="D16">
        <v>0</v>
      </c>
      <c r="E16">
        <v>0</v>
      </c>
      <c r="F16">
        <v>0</v>
      </c>
      <c r="G16">
        <v>0</v>
      </c>
      <c r="H16">
        <v>0</v>
      </c>
      <c r="I16">
        <v>0</v>
      </c>
      <c r="J16">
        <v>0</v>
      </c>
      <c r="K16">
        <v>0</v>
      </c>
      <c r="L16">
        <v>0</v>
      </c>
      <c r="M16">
        <v>0</v>
      </c>
      <c r="N16">
        <v>0</v>
      </c>
      <c r="O16">
        <v>0</v>
      </c>
      <c r="P16">
        <v>0</v>
      </c>
      <c r="Q16">
        <v>0</v>
      </c>
      <c r="R16">
        <v>0</v>
      </c>
      <c r="S16">
        <v>0</v>
      </c>
    </row>
    <row r="17" spans="1:19">
      <c r="A17">
        <f t="shared" si="1"/>
        <v>16</v>
      </c>
      <c r="B17">
        <v>0</v>
      </c>
      <c r="C17">
        <v>0</v>
      </c>
      <c r="D17">
        <v>0</v>
      </c>
      <c r="E17">
        <v>0</v>
      </c>
      <c r="F17">
        <v>0</v>
      </c>
      <c r="G17">
        <v>0</v>
      </c>
      <c r="H17">
        <v>0</v>
      </c>
      <c r="I17">
        <v>0</v>
      </c>
      <c r="J17">
        <v>0</v>
      </c>
      <c r="K17">
        <v>0</v>
      </c>
      <c r="L17">
        <v>0</v>
      </c>
      <c r="M17">
        <v>0</v>
      </c>
      <c r="N17">
        <v>0</v>
      </c>
      <c r="O17">
        <v>0</v>
      </c>
      <c r="P17">
        <v>0</v>
      </c>
      <c r="Q17">
        <v>0</v>
      </c>
      <c r="R17">
        <v>0</v>
      </c>
      <c r="S17">
        <v>0</v>
      </c>
    </row>
    <row r="18" spans="1:19">
      <c r="A18">
        <f t="shared" si="1"/>
        <v>17</v>
      </c>
      <c r="B18">
        <v>0</v>
      </c>
      <c r="C18">
        <v>0</v>
      </c>
      <c r="D18">
        <v>0</v>
      </c>
      <c r="E18">
        <v>0</v>
      </c>
      <c r="F18">
        <v>0</v>
      </c>
      <c r="G18">
        <v>0</v>
      </c>
      <c r="H18">
        <v>0</v>
      </c>
      <c r="I18">
        <v>0</v>
      </c>
      <c r="J18">
        <v>0</v>
      </c>
      <c r="K18">
        <v>0</v>
      </c>
      <c r="L18">
        <v>0</v>
      </c>
      <c r="M18">
        <v>0</v>
      </c>
      <c r="N18">
        <v>0</v>
      </c>
      <c r="O18">
        <v>0</v>
      </c>
      <c r="P18">
        <v>0</v>
      </c>
      <c r="Q18">
        <v>0</v>
      </c>
      <c r="R18">
        <v>0</v>
      </c>
      <c r="S18">
        <v>0</v>
      </c>
    </row>
    <row r="19" spans="1:19">
      <c r="A19">
        <f t="shared" si="1"/>
        <v>18</v>
      </c>
      <c r="B19">
        <v>0</v>
      </c>
      <c r="C19">
        <v>0</v>
      </c>
      <c r="D19">
        <v>0</v>
      </c>
      <c r="E19">
        <v>0</v>
      </c>
      <c r="F19">
        <v>0</v>
      </c>
      <c r="G19">
        <v>0</v>
      </c>
      <c r="H19">
        <v>0</v>
      </c>
      <c r="I19">
        <v>0</v>
      </c>
      <c r="J19">
        <v>0</v>
      </c>
      <c r="K19">
        <v>0</v>
      </c>
      <c r="L19">
        <v>0</v>
      </c>
      <c r="M19">
        <v>0</v>
      </c>
      <c r="N19">
        <v>0</v>
      </c>
      <c r="O19">
        <v>0</v>
      </c>
      <c r="P19">
        <v>0</v>
      </c>
      <c r="Q19">
        <v>0</v>
      </c>
      <c r="R19">
        <v>0</v>
      </c>
      <c r="S19">
        <v>0</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BD27"/>
  <sheetViews>
    <sheetView zoomScale="40" zoomScaleNormal="40" zoomScalePageLayoutView="40" workbookViewId="0">
      <selection activeCell="Q37" sqref="Q37"/>
    </sheetView>
  </sheetViews>
  <sheetFormatPr defaultColWidth="8.69921875" defaultRowHeight="15.6"/>
  <cols>
    <col min="53" max="53" width="20.69921875" customWidth="1"/>
    <col min="54" max="54" width="25.19921875" customWidth="1"/>
    <col min="55" max="55" width="18.69921875" customWidth="1"/>
  </cols>
  <sheetData>
    <row r="1" spans="1:56">
      <c r="A1" t="s">
        <v>289</v>
      </c>
      <c r="AA1" t="s">
        <v>290</v>
      </c>
      <c r="BA1" t="s">
        <v>291</v>
      </c>
      <c r="BB1" t="s">
        <v>292</v>
      </c>
    </row>
    <row r="2" spans="1:56">
      <c r="A2" t="s">
        <v>235</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AB2">
        <v>1</v>
      </c>
      <c r="AC2">
        <v>2</v>
      </c>
      <c r="AD2">
        <v>3</v>
      </c>
      <c r="AE2">
        <v>4</v>
      </c>
      <c r="AF2">
        <v>5</v>
      </c>
      <c r="AG2">
        <v>6</v>
      </c>
      <c r="AH2">
        <v>7</v>
      </c>
      <c r="AI2">
        <v>8</v>
      </c>
      <c r="AJ2">
        <v>9</v>
      </c>
      <c r="AK2">
        <v>10</v>
      </c>
      <c r="AL2">
        <v>11</v>
      </c>
      <c r="AM2">
        <v>12</v>
      </c>
      <c r="AN2">
        <v>13</v>
      </c>
      <c r="AO2">
        <v>14</v>
      </c>
      <c r="AP2">
        <v>15</v>
      </c>
      <c r="AQ2">
        <v>16</v>
      </c>
      <c r="AR2">
        <v>17</v>
      </c>
      <c r="AS2">
        <v>18</v>
      </c>
      <c r="AT2">
        <v>19</v>
      </c>
      <c r="AU2">
        <v>20</v>
      </c>
      <c r="AV2">
        <v>21</v>
      </c>
      <c r="AW2">
        <v>22</v>
      </c>
      <c r="AX2">
        <v>23</v>
      </c>
      <c r="AY2">
        <v>24</v>
      </c>
      <c r="BB2" t="s">
        <v>67</v>
      </c>
      <c r="BC2" t="s">
        <v>293</v>
      </c>
      <c r="BD2" t="s">
        <v>294</v>
      </c>
    </row>
    <row r="3" spans="1:56">
      <c r="A3">
        <v>1</v>
      </c>
      <c r="B3">
        <v>0</v>
      </c>
      <c r="C3">
        <v>65.540000000000006</v>
      </c>
      <c r="D3">
        <v>214.9</v>
      </c>
      <c r="E3">
        <v>431.6</v>
      </c>
      <c r="F3">
        <v>28.48</v>
      </c>
      <c r="G3">
        <v>3.7749999999999999</v>
      </c>
      <c r="H3">
        <v>98.83</v>
      </c>
      <c r="I3">
        <v>103.6</v>
      </c>
      <c r="J3">
        <v>624.9</v>
      </c>
      <c r="K3">
        <v>43.58</v>
      </c>
      <c r="L3">
        <v>293.39999999999998</v>
      </c>
      <c r="M3">
        <v>144.80000000000001</v>
      </c>
      <c r="N3">
        <v>38.090000000000003</v>
      </c>
      <c r="O3">
        <v>159.6</v>
      </c>
      <c r="P3">
        <v>789.6</v>
      </c>
      <c r="Q3">
        <v>3557</v>
      </c>
      <c r="R3">
        <v>7.8920000000000003</v>
      </c>
      <c r="S3">
        <v>48.73</v>
      </c>
      <c r="T3">
        <v>102.6</v>
      </c>
      <c r="U3">
        <v>47.01</v>
      </c>
      <c r="V3">
        <v>147</v>
      </c>
      <c r="W3">
        <v>91.24</v>
      </c>
      <c r="X3">
        <v>416.3</v>
      </c>
      <c r="Y3">
        <v>11.27</v>
      </c>
      <c r="AA3">
        <v>1</v>
      </c>
      <c r="AB3">
        <v>0</v>
      </c>
      <c r="AC3">
        <v>105.7</v>
      </c>
      <c r="AD3">
        <v>294.89999999999998</v>
      </c>
      <c r="AE3">
        <v>575</v>
      </c>
      <c r="AF3">
        <v>20.25</v>
      </c>
      <c r="AG3">
        <v>8.9220000000000006</v>
      </c>
      <c r="AH3">
        <v>136.19999999999999</v>
      </c>
      <c r="AI3">
        <v>103.6</v>
      </c>
      <c r="AJ3">
        <v>774.1</v>
      </c>
      <c r="AK3">
        <v>60.05</v>
      </c>
      <c r="AL3">
        <v>170.9</v>
      </c>
      <c r="AM3">
        <v>401.5</v>
      </c>
      <c r="AN3">
        <v>88.19</v>
      </c>
      <c r="AO3">
        <v>227.8</v>
      </c>
      <c r="AP3">
        <v>1829</v>
      </c>
      <c r="AQ3">
        <v>11195</v>
      </c>
      <c r="AR3">
        <v>35</v>
      </c>
      <c r="AS3">
        <v>44.27</v>
      </c>
      <c r="AT3">
        <v>260.10000000000002</v>
      </c>
      <c r="AU3">
        <v>169.5</v>
      </c>
      <c r="AV3">
        <v>239.5</v>
      </c>
      <c r="AW3">
        <v>94.24</v>
      </c>
      <c r="AX3">
        <v>513.4</v>
      </c>
      <c r="AY3">
        <v>55.48</v>
      </c>
      <c r="BB3" s="49" t="s">
        <v>295</v>
      </c>
      <c r="BC3" t="s">
        <v>296</v>
      </c>
      <c r="BD3" t="s">
        <v>297</v>
      </c>
    </row>
    <row r="4" spans="1:56">
      <c r="A4">
        <v>2</v>
      </c>
      <c r="B4">
        <v>65.540000000000006</v>
      </c>
      <c r="C4">
        <v>0</v>
      </c>
      <c r="D4">
        <v>39.049999999999997</v>
      </c>
      <c r="E4">
        <v>134.5</v>
      </c>
      <c r="F4">
        <v>37.75</v>
      </c>
      <c r="G4">
        <v>29.85</v>
      </c>
      <c r="H4">
        <v>25.05</v>
      </c>
      <c r="I4">
        <v>5.1470000000000002</v>
      </c>
      <c r="J4">
        <v>-17.84</v>
      </c>
      <c r="K4">
        <v>8.5790000000000006</v>
      </c>
      <c r="L4">
        <v>63.48</v>
      </c>
      <c r="M4">
        <v>141.4</v>
      </c>
      <c r="N4">
        <v>83.73</v>
      </c>
      <c r="O4">
        <v>136.6</v>
      </c>
      <c r="P4">
        <v>439.9</v>
      </c>
      <c r="Q4">
        <v>4324</v>
      </c>
      <c r="R4">
        <v>59.71</v>
      </c>
      <c r="S4">
        <v>9.6080000000000005</v>
      </c>
      <c r="T4">
        <v>64.849999999999994</v>
      </c>
      <c r="U4">
        <v>34.31</v>
      </c>
      <c r="V4">
        <v>155.4</v>
      </c>
      <c r="W4">
        <v>44</v>
      </c>
      <c r="X4">
        <v>520.52</v>
      </c>
      <c r="Y4">
        <v>113.6</v>
      </c>
      <c r="AA4">
        <v>2</v>
      </c>
      <c r="AB4">
        <v>105.7</v>
      </c>
      <c r="AC4">
        <v>0</v>
      </c>
      <c r="AD4">
        <v>41.59</v>
      </c>
      <c r="AE4">
        <v>183.9</v>
      </c>
      <c r="AF4">
        <v>74.81</v>
      </c>
      <c r="AG4">
        <v>65.88</v>
      </c>
      <c r="AH4">
        <v>64.510000000000005</v>
      </c>
      <c r="AI4">
        <v>-7.5490000000000004</v>
      </c>
      <c r="AJ4">
        <v>-4.1180000000000003</v>
      </c>
      <c r="AK4">
        <v>27.79</v>
      </c>
      <c r="AL4">
        <v>-74.459999999999994</v>
      </c>
      <c r="AM4">
        <v>237.1</v>
      </c>
      <c r="AN4">
        <v>188.7</v>
      </c>
      <c r="AO4">
        <v>124.6</v>
      </c>
      <c r="AP4">
        <v>504.8</v>
      </c>
      <c r="AQ4">
        <v>12126</v>
      </c>
      <c r="AR4">
        <v>82.35</v>
      </c>
      <c r="AS4">
        <v>50.79</v>
      </c>
      <c r="AT4">
        <v>51.82</v>
      </c>
      <c r="AU4">
        <v>51.13</v>
      </c>
      <c r="AV4">
        <v>240.9</v>
      </c>
      <c r="AW4">
        <v>45.55</v>
      </c>
      <c r="AX4">
        <v>673.22</v>
      </c>
      <c r="AY4">
        <v>231.6</v>
      </c>
      <c r="BA4">
        <v>1</v>
      </c>
      <c r="BB4">
        <v>-0.04</v>
      </c>
      <c r="BC4">
        <v>1.5</v>
      </c>
      <c r="BD4">
        <v>-0.08</v>
      </c>
    </row>
    <row r="5" spans="1:56">
      <c r="A5">
        <v>3</v>
      </c>
      <c r="B5">
        <v>214.9</v>
      </c>
      <c r="C5">
        <v>39.049999999999997</v>
      </c>
      <c r="D5">
        <v>0</v>
      </c>
      <c r="E5">
        <v>-86.13</v>
      </c>
      <c r="F5">
        <v>131.4</v>
      </c>
      <c r="G5">
        <v>156.1</v>
      </c>
      <c r="H5">
        <v>56.62</v>
      </c>
      <c r="I5">
        <v>48.73</v>
      </c>
      <c r="J5">
        <v>0</v>
      </c>
      <c r="K5">
        <v>73.09</v>
      </c>
      <c r="L5">
        <v>-120.8</v>
      </c>
      <c r="M5">
        <v>191.8</v>
      </c>
      <c r="N5">
        <v>383.6</v>
      </c>
      <c r="O5">
        <v>192.5</v>
      </c>
      <c r="P5">
        <v>374</v>
      </c>
      <c r="Q5">
        <v>971.4</v>
      </c>
      <c r="R5">
        <v>147.9</v>
      </c>
      <c r="S5">
        <v>84.76</v>
      </c>
      <c r="T5">
        <v>91.62</v>
      </c>
      <c r="U5">
        <v>0</v>
      </c>
      <c r="V5">
        <v>326</v>
      </c>
      <c r="W5">
        <v>0</v>
      </c>
      <c r="X5">
        <v>728.1</v>
      </c>
      <c r="Y5">
        <v>185.8</v>
      </c>
      <c r="AA5">
        <v>3</v>
      </c>
      <c r="AB5">
        <v>294.89999999999998</v>
      </c>
      <c r="AC5">
        <v>41.59</v>
      </c>
      <c r="AD5">
        <v>0</v>
      </c>
      <c r="AE5">
        <v>85.1</v>
      </c>
      <c r="AF5">
        <v>157.5</v>
      </c>
      <c r="AG5">
        <v>96.77</v>
      </c>
      <c r="AH5">
        <v>129.69999999999999</v>
      </c>
      <c r="AI5">
        <v>-89.22</v>
      </c>
      <c r="AJ5">
        <v>0</v>
      </c>
      <c r="AK5">
        <v>71.37</v>
      </c>
      <c r="AL5">
        <v>18.53</v>
      </c>
      <c r="AM5">
        <v>380.9</v>
      </c>
      <c r="AN5">
        <v>375.4</v>
      </c>
      <c r="AO5">
        <v>562.79999999999995</v>
      </c>
      <c r="AP5">
        <v>520.9</v>
      </c>
      <c r="AQ5">
        <v>567.6</v>
      </c>
      <c r="AR5">
        <v>-55.59</v>
      </c>
      <c r="AS5">
        <v>193.2</v>
      </c>
      <c r="AT5">
        <v>54.9</v>
      </c>
      <c r="AU5">
        <v>0</v>
      </c>
      <c r="AV5">
        <v>287.89999999999998</v>
      </c>
      <c r="AW5">
        <v>0</v>
      </c>
      <c r="AX5">
        <v>750.9</v>
      </c>
      <c r="AY5">
        <v>634.20000000000005</v>
      </c>
      <c r="BA5">
        <v>2</v>
      </c>
      <c r="BB5">
        <v>-8.6999999999999993</v>
      </c>
      <c r="BC5">
        <v>6.8</v>
      </c>
      <c r="BD5">
        <v>-1.1000000000000001</v>
      </c>
    </row>
    <row r="6" spans="1:56">
      <c r="A6">
        <v>4</v>
      </c>
      <c r="B6">
        <v>431.6</v>
      </c>
      <c r="C6">
        <v>134.5</v>
      </c>
      <c r="D6">
        <v>-86.13</v>
      </c>
      <c r="E6">
        <v>0</v>
      </c>
      <c r="F6">
        <v>309.5</v>
      </c>
      <c r="G6">
        <v>388.1</v>
      </c>
      <c r="H6">
        <v>170.5</v>
      </c>
      <c r="I6">
        <v>128.30000000000001</v>
      </c>
      <c r="J6">
        <v>0</v>
      </c>
      <c r="K6">
        <v>208.6</v>
      </c>
      <c r="L6">
        <v>25.05</v>
      </c>
      <c r="M6">
        <v>377.5</v>
      </c>
      <c r="N6">
        <v>341.8</v>
      </c>
      <c r="O6">
        <v>330.8</v>
      </c>
      <c r="P6">
        <v>685.9</v>
      </c>
      <c r="Q6">
        <v>0</v>
      </c>
      <c r="R6">
        <v>366.8</v>
      </c>
      <c r="S6">
        <v>181.2</v>
      </c>
      <c r="T6">
        <v>0</v>
      </c>
      <c r="U6">
        <v>0</v>
      </c>
      <c r="V6">
        <v>548.29999999999995</v>
      </c>
      <c r="W6">
        <v>0</v>
      </c>
      <c r="X6">
        <v>0</v>
      </c>
      <c r="Y6">
        <v>899</v>
      </c>
      <c r="AA6">
        <v>4</v>
      </c>
      <c r="AB6">
        <v>575</v>
      </c>
      <c r="AC6">
        <v>183.9</v>
      </c>
      <c r="AD6">
        <v>85.1</v>
      </c>
      <c r="AE6">
        <v>0</v>
      </c>
      <c r="AF6">
        <v>35.69</v>
      </c>
      <c r="AG6">
        <v>-224.8</v>
      </c>
      <c r="AH6">
        <v>284.10000000000002</v>
      </c>
      <c r="AI6">
        <v>189.1</v>
      </c>
      <c r="AJ6">
        <v>0</v>
      </c>
      <c r="AK6">
        <v>294.39999999999998</v>
      </c>
      <c r="AL6">
        <v>81.33</v>
      </c>
      <c r="AM6">
        <v>162.69999999999999</v>
      </c>
      <c r="AN6">
        <v>635.20000000000005</v>
      </c>
      <c r="AO6">
        <v>-297.2</v>
      </c>
      <c r="AP6">
        <v>1547</v>
      </c>
      <c r="AQ6">
        <v>0</v>
      </c>
      <c r="AR6">
        <v>-219.3</v>
      </c>
      <c r="AS6">
        <v>419</v>
      </c>
      <c r="AT6">
        <v>0</v>
      </c>
      <c r="AU6">
        <v>0</v>
      </c>
      <c r="AV6">
        <v>2343</v>
      </c>
      <c r="AW6">
        <v>0</v>
      </c>
      <c r="AX6">
        <v>0</v>
      </c>
      <c r="AY6">
        <v>4655</v>
      </c>
      <c r="BA6">
        <v>3</v>
      </c>
      <c r="BB6">
        <v>-28</v>
      </c>
      <c r="BC6">
        <v>19.7</v>
      </c>
      <c r="BD6">
        <v>-3.3</v>
      </c>
    </row>
    <row r="7" spans="1:56">
      <c r="A7">
        <v>5</v>
      </c>
      <c r="B7">
        <v>28.48</v>
      </c>
      <c r="C7">
        <v>37.75</v>
      </c>
      <c r="D7">
        <v>131.4</v>
      </c>
      <c r="E7">
        <v>309.5</v>
      </c>
      <c r="F7">
        <v>0</v>
      </c>
      <c r="G7">
        <v>9.9510000000000005</v>
      </c>
      <c r="H7">
        <v>67.260000000000005</v>
      </c>
      <c r="I7">
        <v>106.7</v>
      </c>
      <c r="J7">
        <v>249.1</v>
      </c>
      <c r="K7">
        <v>33.97</v>
      </c>
      <c r="L7">
        <v>188</v>
      </c>
      <c r="M7">
        <v>134.9</v>
      </c>
      <c r="N7">
        <v>30.88</v>
      </c>
      <c r="O7">
        <v>181.9</v>
      </c>
      <c r="P7">
        <v>701.7</v>
      </c>
      <c r="Q7">
        <v>2265</v>
      </c>
      <c r="R7">
        <v>19.22</v>
      </c>
      <c r="S7">
        <v>48.73</v>
      </c>
      <c r="T7">
        <v>0</v>
      </c>
      <c r="U7">
        <v>0</v>
      </c>
      <c r="V7">
        <v>156.1</v>
      </c>
      <c r="W7">
        <v>14.43</v>
      </c>
      <c r="X7">
        <v>394.5</v>
      </c>
      <c r="Y7">
        <v>15.97</v>
      </c>
      <c r="AA7">
        <v>5</v>
      </c>
      <c r="AB7">
        <v>20.25</v>
      </c>
      <c r="AC7">
        <v>74.81</v>
      </c>
      <c r="AD7">
        <v>157.5</v>
      </c>
      <c r="AE7">
        <v>35.69</v>
      </c>
      <c r="AF7">
        <v>0</v>
      </c>
      <c r="AG7">
        <v>13.73</v>
      </c>
      <c r="AH7">
        <v>167.5</v>
      </c>
      <c r="AI7">
        <v>190.8</v>
      </c>
      <c r="AJ7">
        <v>408.3</v>
      </c>
      <c r="AK7">
        <v>5.49</v>
      </c>
      <c r="AL7">
        <v>473.9</v>
      </c>
      <c r="AM7">
        <v>219.3</v>
      </c>
      <c r="AN7">
        <v>37.06</v>
      </c>
      <c r="AO7">
        <v>304</v>
      </c>
      <c r="AP7">
        <v>1318</v>
      </c>
      <c r="AQ7">
        <v>4722</v>
      </c>
      <c r="AR7">
        <v>33.29</v>
      </c>
      <c r="AS7">
        <v>68.290000000000006</v>
      </c>
      <c r="AT7">
        <v>0</v>
      </c>
      <c r="AU7">
        <v>0</v>
      </c>
      <c r="AV7">
        <v>92.99</v>
      </c>
      <c r="AW7">
        <v>20.92</v>
      </c>
      <c r="AX7">
        <v>378.1</v>
      </c>
      <c r="AY7">
        <v>24.48</v>
      </c>
      <c r="BA7">
        <v>4</v>
      </c>
      <c r="BB7">
        <v>-41.5</v>
      </c>
      <c r="BC7">
        <v>27.5</v>
      </c>
      <c r="BD7">
        <v>-4.5999999999999996</v>
      </c>
    </row>
    <row r="8" spans="1:56">
      <c r="A8">
        <v>6</v>
      </c>
      <c r="B8">
        <v>3.7749999999999999</v>
      </c>
      <c r="C8">
        <v>29.85</v>
      </c>
      <c r="D8">
        <v>156.1</v>
      </c>
      <c r="E8">
        <v>388.1</v>
      </c>
      <c r="F8">
        <v>9.9510000000000005</v>
      </c>
      <c r="G8">
        <v>0</v>
      </c>
      <c r="H8">
        <v>41.18</v>
      </c>
      <c r="I8">
        <v>67.94</v>
      </c>
      <c r="J8">
        <v>0</v>
      </c>
      <c r="K8">
        <v>12.7</v>
      </c>
      <c r="L8">
        <v>118</v>
      </c>
      <c r="M8">
        <v>136.19999999999999</v>
      </c>
      <c r="N8">
        <v>61.59</v>
      </c>
      <c r="O8">
        <v>157.19999999999999</v>
      </c>
      <c r="P8">
        <v>0</v>
      </c>
      <c r="Q8">
        <v>2333</v>
      </c>
      <c r="R8">
        <v>7.5490000000000004</v>
      </c>
      <c r="S8">
        <v>26.77</v>
      </c>
      <c r="T8">
        <v>0</v>
      </c>
      <c r="U8">
        <v>0</v>
      </c>
      <c r="V8">
        <v>137.6</v>
      </c>
      <c r="W8">
        <v>15.42</v>
      </c>
      <c r="X8">
        <v>581.29999999999995</v>
      </c>
      <c r="Y8">
        <v>43.81</v>
      </c>
      <c r="AA8">
        <v>6</v>
      </c>
      <c r="AB8">
        <v>8.9220000000000006</v>
      </c>
      <c r="AC8">
        <v>65.88</v>
      </c>
      <c r="AD8">
        <v>96.77</v>
      </c>
      <c r="AE8">
        <v>-224.8</v>
      </c>
      <c r="AF8">
        <v>13.73</v>
      </c>
      <c r="AG8">
        <v>0</v>
      </c>
      <c r="AH8">
        <v>50.79</v>
      </c>
      <c r="AI8">
        <v>210.7</v>
      </c>
      <c r="AJ8">
        <v>0</v>
      </c>
      <c r="AK8">
        <v>73.430000000000007</v>
      </c>
      <c r="AL8">
        <v>-212.8</v>
      </c>
      <c r="AM8">
        <v>235.7</v>
      </c>
      <c r="AN8">
        <v>84.92</v>
      </c>
      <c r="AO8">
        <v>217.1</v>
      </c>
      <c r="AP8">
        <v>0</v>
      </c>
      <c r="AQ8">
        <v>5147</v>
      </c>
      <c r="AR8">
        <v>20.93</v>
      </c>
      <c r="AS8">
        <v>-5.1470000000000002</v>
      </c>
      <c r="AT8">
        <v>0</v>
      </c>
      <c r="AU8">
        <v>0</v>
      </c>
      <c r="AV8">
        <v>150</v>
      </c>
      <c r="AW8">
        <v>33.299999999999997</v>
      </c>
      <c r="AX8">
        <v>517.1</v>
      </c>
      <c r="AY8">
        <v>53.1</v>
      </c>
      <c r="BA8">
        <v>5</v>
      </c>
      <c r="BB8">
        <v>-8.9</v>
      </c>
      <c r="BC8">
        <v>8</v>
      </c>
      <c r="BD8">
        <v>-1.3</v>
      </c>
    </row>
    <row r="9" spans="1:56">
      <c r="A9">
        <v>7</v>
      </c>
      <c r="B9">
        <v>98.83</v>
      </c>
      <c r="C9">
        <v>25.05</v>
      </c>
      <c r="D9">
        <v>56.62</v>
      </c>
      <c r="E9">
        <v>170.5</v>
      </c>
      <c r="F9">
        <v>67.260000000000005</v>
      </c>
      <c r="G9">
        <v>41.18</v>
      </c>
      <c r="H9">
        <v>0</v>
      </c>
      <c r="I9">
        <v>-16.47</v>
      </c>
      <c r="J9">
        <v>52.5</v>
      </c>
      <c r="K9">
        <v>28.82</v>
      </c>
      <c r="L9">
        <v>129</v>
      </c>
      <c r="M9">
        <v>98.48</v>
      </c>
      <c r="N9">
        <v>185.3</v>
      </c>
      <c r="O9">
        <v>21.28</v>
      </c>
      <c r="P9">
        <v>277.60000000000002</v>
      </c>
      <c r="Q9">
        <v>2268</v>
      </c>
      <c r="R9">
        <v>25.74</v>
      </c>
      <c r="S9">
        <v>9.9510000000000005</v>
      </c>
      <c r="T9">
        <v>-16.47</v>
      </c>
      <c r="U9">
        <v>3.7749999999999999</v>
      </c>
      <c r="V9">
        <v>288.89999999999998</v>
      </c>
      <c r="W9">
        <v>153.4</v>
      </c>
      <c r="X9">
        <v>753.6</v>
      </c>
      <c r="Y9">
        <v>195.6</v>
      </c>
      <c r="AA9">
        <v>7</v>
      </c>
      <c r="AB9">
        <v>136.19999999999999</v>
      </c>
      <c r="AC9">
        <v>64.510000000000005</v>
      </c>
      <c r="AD9">
        <v>129.69999999999999</v>
      </c>
      <c r="AE9">
        <v>284.10000000000002</v>
      </c>
      <c r="AF9">
        <v>167.5</v>
      </c>
      <c r="AG9">
        <v>50.79</v>
      </c>
      <c r="AH9">
        <v>0</v>
      </c>
      <c r="AI9">
        <v>16.47</v>
      </c>
      <c r="AJ9">
        <v>251.2</v>
      </c>
      <c r="AK9">
        <v>65.540000000000006</v>
      </c>
      <c r="AL9">
        <v>36.72</v>
      </c>
      <c r="AM9">
        <v>253.6</v>
      </c>
      <c r="AN9">
        <v>460.7</v>
      </c>
      <c r="AO9">
        <v>6.1769999999999996</v>
      </c>
      <c r="AP9">
        <v>449.5</v>
      </c>
      <c r="AQ9">
        <v>6218</v>
      </c>
      <c r="AR9">
        <v>78.92</v>
      </c>
      <c r="AS9">
        <v>19.899999999999999</v>
      </c>
      <c r="AT9">
        <v>61.42</v>
      </c>
      <c r="AU9">
        <v>1.716</v>
      </c>
      <c r="AV9">
        <v>189.1</v>
      </c>
      <c r="AW9">
        <v>153.4</v>
      </c>
      <c r="AX9">
        <v>590.5</v>
      </c>
      <c r="AY9">
        <v>361.3</v>
      </c>
      <c r="BA9">
        <v>6</v>
      </c>
      <c r="BB9">
        <v>-8.5</v>
      </c>
      <c r="BC9">
        <v>7.3</v>
      </c>
      <c r="BD9">
        <v>-1.2</v>
      </c>
    </row>
    <row r="10" spans="1:56">
      <c r="A10">
        <v>8</v>
      </c>
      <c r="B10">
        <v>103.6</v>
      </c>
      <c r="C10">
        <v>5.1470000000000002</v>
      </c>
      <c r="D10">
        <v>48.73</v>
      </c>
      <c r="E10">
        <v>128.30000000000001</v>
      </c>
      <c r="F10">
        <v>106.7</v>
      </c>
      <c r="G10">
        <v>67.94</v>
      </c>
      <c r="H10">
        <v>-16.47</v>
      </c>
      <c r="I10">
        <v>0</v>
      </c>
      <c r="J10">
        <v>-328</v>
      </c>
      <c r="K10">
        <v>37.4</v>
      </c>
      <c r="L10">
        <v>-99.17</v>
      </c>
      <c r="M10">
        <v>154.4</v>
      </c>
      <c r="N10">
        <v>343.8</v>
      </c>
      <c r="O10">
        <v>9.6080000000000005</v>
      </c>
      <c r="P10">
        <v>1002</v>
      </c>
      <c r="Q10">
        <v>543.5</v>
      </c>
      <c r="R10">
        <v>97.8</v>
      </c>
      <c r="S10">
        <v>-48.38</v>
      </c>
      <c r="T10">
        <v>343.1</v>
      </c>
      <c r="U10">
        <v>242.9</v>
      </c>
      <c r="V10">
        <v>400.1</v>
      </c>
      <c r="W10">
        <v>125.77</v>
      </c>
      <c r="X10">
        <v>753.6</v>
      </c>
      <c r="Y10">
        <v>0</v>
      </c>
      <c r="AA10">
        <v>8</v>
      </c>
      <c r="AB10">
        <v>103.6</v>
      </c>
      <c r="AC10">
        <v>-7.5490000000000004</v>
      </c>
      <c r="AD10">
        <v>-89.22</v>
      </c>
      <c r="AE10">
        <v>189.1</v>
      </c>
      <c r="AF10">
        <v>190.8</v>
      </c>
      <c r="AG10">
        <v>210.7</v>
      </c>
      <c r="AH10">
        <v>16.47</v>
      </c>
      <c r="AI10">
        <v>0</v>
      </c>
      <c r="AJ10">
        <v>-569.29999999999995</v>
      </c>
      <c r="AK10">
        <v>53.53</v>
      </c>
      <c r="AL10">
        <v>-193.5</v>
      </c>
      <c r="AM10">
        <v>374.4</v>
      </c>
      <c r="AN10">
        <v>1712</v>
      </c>
      <c r="AO10">
        <v>-36.72</v>
      </c>
      <c r="AP10">
        <v>-736.4</v>
      </c>
      <c r="AQ10">
        <v>411.8</v>
      </c>
      <c r="AR10">
        <v>67.94</v>
      </c>
      <c r="AS10">
        <v>27.79</v>
      </c>
      <c r="AT10">
        <v>880.2</v>
      </c>
      <c r="AU10">
        <v>-7.2060000000000004</v>
      </c>
      <c r="AV10">
        <v>1201</v>
      </c>
      <c r="AW10">
        <v>-231.1</v>
      </c>
      <c r="AX10">
        <v>590.5</v>
      </c>
      <c r="AY10">
        <v>0</v>
      </c>
      <c r="BA10">
        <v>7</v>
      </c>
      <c r="BB10">
        <v>-4.8</v>
      </c>
      <c r="BC10">
        <v>3.6</v>
      </c>
      <c r="BD10">
        <v>-0.6</v>
      </c>
    </row>
    <row r="11" spans="1:56">
      <c r="A11">
        <v>9</v>
      </c>
      <c r="B11">
        <v>624.9</v>
      </c>
      <c r="C11">
        <v>-17.84</v>
      </c>
      <c r="D11">
        <v>0</v>
      </c>
      <c r="E11">
        <v>0</v>
      </c>
      <c r="F11">
        <v>249.1</v>
      </c>
      <c r="G11">
        <v>0</v>
      </c>
      <c r="H11">
        <v>52.5</v>
      </c>
      <c r="I11">
        <v>-328</v>
      </c>
      <c r="J11">
        <v>0</v>
      </c>
      <c r="K11">
        <v>140.69999999999999</v>
      </c>
      <c r="L11">
        <v>-99.17</v>
      </c>
      <c r="M11">
        <v>331.1</v>
      </c>
      <c r="N11">
        <v>702.4</v>
      </c>
      <c r="O11">
        <v>9.6080000000000005</v>
      </c>
      <c r="P11">
        <v>1002</v>
      </c>
      <c r="Q11">
        <v>1340</v>
      </c>
      <c r="R11">
        <v>209.7</v>
      </c>
      <c r="S11">
        <v>669.8</v>
      </c>
      <c r="T11">
        <v>0</v>
      </c>
      <c r="U11">
        <v>0</v>
      </c>
      <c r="V11">
        <v>602.9</v>
      </c>
      <c r="W11">
        <v>197</v>
      </c>
      <c r="X11">
        <v>753.6</v>
      </c>
      <c r="Y11">
        <v>0</v>
      </c>
      <c r="AA11">
        <v>9</v>
      </c>
      <c r="AB11">
        <v>774.1</v>
      </c>
      <c r="AC11">
        <v>-4.1180000000000003</v>
      </c>
      <c r="AD11">
        <v>0</v>
      </c>
      <c r="AE11">
        <v>0</v>
      </c>
      <c r="AF11">
        <v>408.3</v>
      </c>
      <c r="AG11">
        <v>0</v>
      </c>
      <c r="AH11">
        <v>251.2</v>
      </c>
      <c r="AI11">
        <v>-569.29999999999995</v>
      </c>
      <c r="AJ11">
        <v>0</v>
      </c>
      <c r="AK11">
        <v>277.60000000000002</v>
      </c>
      <c r="AL11">
        <v>-193.5</v>
      </c>
      <c r="AM11">
        <v>276.60000000000002</v>
      </c>
      <c r="AN11">
        <v>1889</v>
      </c>
      <c r="AO11">
        <v>-36.72</v>
      </c>
      <c r="AP11">
        <v>-736.4</v>
      </c>
      <c r="AQ11">
        <v>-65.88</v>
      </c>
      <c r="AR11">
        <v>3819</v>
      </c>
      <c r="AS11">
        <v>589.5</v>
      </c>
      <c r="AT11">
        <v>0</v>
      </c>
      <c r="AU11">
        <v>0</v>
      </c>
      <c r="AV11">
        <v>1463</v>
      </c>
      <c r="AW11">
        <v>-238.8</v>
      </c>
      <c r="AX11">
        <v>590.5</v>
      </c>
      <c r="AY11">
        <v>0</v>
      </c>
      <c r="BA11">
        <v>8</v>
      </c>
      <c r="BB11">
        <v>-10.8</v>
      </c>
      <c r="BC11">
        <v>6.6</v>
      </c>
      <c r="BD11">
        <v>-1.2</v>
      </c>
    </row>
    <row r="12" spans="1:56">
      <c r="A12">
        <v>10</v>
      </c>
      <c r="B12">
        <v>43.58</v>
      </c>
      <c r="C12">
        <v>8.5790000000000006</v>
      </c>
      <c r="D12">
        <v>73.09</v>
      </c>
      <c r="E12">
        <v>208.6</v>
      </c>
      <c r="F12">
        <v>33.97</v>
      </c>
      <c r="G12">
        <v>12.7</v>
      </c>
      <c r="H12">
        <v>28.82</v>
      </c>
      <c r="I12">
        <v>37.4</v>
      </c>
      <c r="J12">
        <v>140.69999999999999</v>
      </c>
      <c r="K12">
        <v>0</v>
      </c>
      <c r="L12">
        <v>139</v>
      </c>
      <c r="M12">
        <v>144.1</v>
      </c>
      <c r="N12">
        <v>179.5</v>
      </c>
      <c r="O12">
        <v>117.4</v>
      </c>
      <c r="P12">
        <v>493.1</v>
      </c>
      <c r="Q12">
        <v>4211</v>
      </c>
      <c r="R12">
        <v>35.340000000000003</v>
      </c>
      <c r="S12">
        <v>-15.44</v>
      </c>
      <c r="T12">
        <v>159.6</v>
      </c>
      <c r="U12">
        <v>31.91</v>
      </c>
      <c r="V12">
        <v>236.1</v>
      </c>
      <c r="W12">
        <v>113.1</v>
      </c>
      <c r="X12">
        <v>0</v>
      </c>
      <c r="Y12">
        <v>1269</v>
      </c>
      <c r="AA12">
        <v>10</v>
      </c>
      <c r="AB12">
        <v>60.05</v>
      </c>
      <c r="AC12">
        <v>27.79</v>
      </c>
      <c r="AD12">
        <v>71.37</v>
      </c>
      <c r="AE12">
        <v>294.39999999999998</v>
      </c>
      <c r="AF12">
        <v>5.49</v>
      </c>
      <c r="AG12">
        <v>73.430000000000007</v>
      </c>
      <c r="AH12">
        <v>65.540000000000006</v>
      </c>
      <c r="AI12">
        <v>53.53</v>
      </c>
      <c r="AJ12">
        <v>277.60000000000002</v>
      </c>
      <c r="AK12">
        <v>0</v>
      </c>
      <c r="AL12">
        <v>35.69</v>
      </c>
      <c r="AM12">
        <v>354.1</v>
      </c>
      <c r="AN12">
        <v>546.6</v>
      </c>
      <c r="AO12">
        <v>166.4</v>
      </c>
      <c r="AP12">
        <v>832.1</v>
      </c>
      <c r="AQ12">
        <v>13031</v>
      </c>
      <c r="AR12">
        <v>52.5</v>
      </c>
      <c r="AS12">
        <v>24.36</v>
      </c>
      <c r="AT12">
        <v>140.69999999999999</v>
      </c>
      <c r="AU12">
        <v>69.319999999999993</v>
      </c>
      <c r="AV12">
        <v>192.5</v>
      </c>
      <c r="AW12">
        <v>143.6</v>
      </c>
      <c r="AX12">
        <v>0</v>
      </c>
      <c r="AY12">
        <v>18666</v>
      </c>
      <c r="BA12">
        <v>9</v>
      </c>
      <c r="BB12">
        <v>0</v>
      </c>
      <c r="BC12">
        <v>0</v>
      </c>
      <c r="BD12">
        <v>0</v>
      </c>
    </row>
    <row r="13" spans="1:56">
      <c r="A13">
        <v>11</v>
      </c>
      <c r="B13">
        <v>293.39999999999998</v>
      </c>
      <c r="C13">
        <v>63.48</v>
      </c>
      <c r="D13">
        <v>-120.8</v>
      </c>
      <c r="E13">
        <v>25.05</v>
      </c>
      <c r="F13">
        <v>188</v>
      </c>
      <c r="G13">
        <v>118</v>
      </c>
      <c r="H13">
        <v>129</v>
      </c>
      <c r="I13">
        <v>-99.17</v>
      </c>
      <c r="J13">
        <v>-99.17</v>
      </c>
      <c r="K13">
        <v>139</v>
      </c>
      <c r="L13">
        <v>0</v>
      </c>
      <c r="M13">
        <v>216.2</v>
      </c>
      <c r="N13">
        <v>331.5</v>
      </c>
      <c r="O13">
        <v>71.37</v>
      </c>
      <c r="P13">
        <v>463.2</v>
      </c>
      <c r="Q13">
        <v>244</v>
      </c>
      <c r="R13">
        <v>297.2</v>
      </c>
      <c r="S13">
        <v>260.10000000000002</v>
      </c>
      <c r="T13">
        <v>0</v>
      </c>
      <c r="U13">
        <v>151.30000000000001</v>
      </c>
      <c r="V13">
        <v>-51.82</v>
      </c>
      <c r="W13">
        <v>0</v>
      </c>
      <c r="X13">
        <v>0</v>
      </c>
      <c r="Y13">
        <v>0</v>
      </c>
      <c r="AA13">
        <v>11</v>
      </c>
      <c r="AB13">
        <v>170.9</v>
      </c>
      <c r="AC13">
        <v>-74.459999999999994</v>
      </c>
      <c r="AD13">
        <v>18.53</v>
      </c>
      <c r="AE13">
        <v>81.33</v>
      </c>
      <c r="AF13">
        <v>473.9</v>
      </c>
      <c r="AG13">
        <v>-212.8</v>
      </c>
      <c r="AH13">
        <v>36.72</v>
      </c>
      <c r="AI13">
        <v>-193.5</v>
      </c>
      <c r="AJ13">
        <v>-193.5</v>
      </c>
      <c r="AK13">
        <v>35.69</v>
      </c>
      <c r="AL13">
        <v>0</v>
      </c>
      <c r="AM13">
        <v>-132.80000000000001</v>
      </c>
      <c r="AN13">
        <v>389.8</v>
      </c>
      <c r="AO13">
        <v>-127.7</v>
      </c>
      <c r="AP13">
        <v>-337.7</v>
      </c>
      <c r="AQ13">
        <v>-60.39</v>
      </c>
      <c r="AR13">
        <v>-647.20000000000005</v>
      </c>
      <c r="AS13">
        <v>134.9</v>
      </c>
      <c r="AT13">
        <v>0</v>
      </c>
      <c r="AU13">
        <v>2.7450000000000001</v>
      </c>
      <c r="AV13">
        <v>34.31</v>
      </c>
      <c r="AW13">
        <v>0</v>
      </c>
      <c r="AX13">
        <v>0</v>
      </c>
      <c r="AY13">
        <v>0</v>
      </c>
      <c r="BA13">
        <v>10</v>
      </c>
      <c r="BB13">
        <v>-8.8000000000000007</v>
      </c>
      <c r="BC13">
        <v>6.9</v>
      </c>
      <c r="BD13">
        <v>-1</v>
      </c>
    </row>
    <row r="14" spans="1:56">
      <c r="A14">
        <v>12</v>
      </c>
      <c r="B14">
        <v>144.80000000000001</v>
      </c>
      <c r="C14">
        <v>141.4</v>
      </c>
      <c r="D14">
        <v>191.8</v>
      </c>
      <c r="E14">
        <v>377.5</v>
      </c>
      <c r="F14">
        <v>134.9</v>
      </c>
      <c r="G14">
        <v>136.19999999999999</v>
      </c>
      <c r="H14">
        <v>98.48</v>
      </c>
      <c r="I14">
        <v>154.4</v>
      </c>
      <c r="J14">
        <v>331.1</v>
      </c>
      <c r="K14">
        <v>144.1</v>
      </c>
      <c r="L14">
        <v>216.2</v>
      </c>
      <c r="M14">
        <v>0</v>
      </c>
      <c r="N14">
        <v>95.05</v>
      </c>
      <c r="O14">
        <v>134.9</v>
      </c>
      <c r="P14">
        <v>0</v>
      </c>
      <c r="Q14">
        <v>559.29999999999995</v>
      </c>
      <c r="R14">
        <v>73.09</v>
      </c>
      <c r="S14">
        <v>60.74</v>
      </c>
      <c r="T14">
        <v>74.81</v>
      </c>
      <c r="U14">
        <v>87.85</v>
      </c>
      <c r="V14">
        <v>265.89999999999998</v>
      </c>
      <c r="W14">
        <v>106.4</v>
      </c>
      <c r="X14">
        <v>685.9</v>
      </c>
      <c r="Y14">
        <v>179.5</v>
      </c>
      <c r="AA14">
        <v>12</v>
      </c>
      <c r="AB14">
        <v>401.5</v>
      </c>
      <c r="AC14">
        <v>237.1</v>
      </c>
      <c r="AD14">
        <v>380.9</v>
      </c>
      <c r="AE14">
        <v>162.69999999999999</v>
      </c>
      <c r="AF14">
        <v>219.3</v>
      </c>
      <c r="AG14">
        <v>235.7</v>
      </c>
      <c r="AH14">
        <v>253.6</v>
      </c>
      <c r="AI14">
        <v>374.4</v>
      </c>
      <c r="AJ14">
        <v>276.60000000000002</v>
      </c>
      <c r="AK14">
        <v>354.1</v>
      </c>
      <c r="AL14">
        <v>-132.80000000000001</v>
      </c>
      <c r="AM14">
        <v>0</v>
      </c>
      <c r="AN14">
        <v>255.6</v>
      </c>
      <c r="AO14">
        <v>201.4</v>
      </c>
      <c r="AP14">
        <v>0</v>
      </c>
      <c r="AQ14">
        <v>277.89999999999998</v>
      </c>
      <c r="AR14">
        <v>106.7</v>
      </c>
      <c r="AS14">
        <v>183.9</v>
      </c>
      <c r="AT14">
        <v>-266.60000000000002</v>
      </c>
      <c r="AU14">
        <v>66.91</v>
      </c>
      <c r="AV14">
        <v>268.3</v>
      </c>
      <c r="AW14">
        <v>158.9</v>
      </c>
      <c r="AX14">
        <v>559.29999999999995</v>
      </c>
      <c r="AY14">
        <v>-1.6120000000000001</v>
      </c>
      <c r="BA14">
        <v>11</v>
      </c>
      <c r="BB14">
        <v>-4.9000000000000004</v>
      </c>
      <c r="BC14">
        <v>1.9</v>
      </c>
      <c r="BD14">
        <v>-0.05</v>
      </c>
    </row>
    <row r="15" spans="1:56">
      <c r="A15">
        <v>13</v>
      </c>
      <c r="B15">
        <v>38.090000000000003</v>
      </c>
      <c r="C15">
        <v>83.73</v>
      </c>
      <c r="D15">
        <v>383.6</v>
      </c>
      <c r="E15">
        <v>341.8</v>
      </c>
      <c r="F15">
        <v>30.88</v>
      </c>
      <c r="G15">
        <v>61.59</v>
      </c>
      <c r="H15">
        <v>185.3</v>
      </c>
      <c r="I15">
        <v>343.8</v>
      </c>
      <c r="J15">
        <v>702.4</v>
      </c>
      <c r="K15">
        <v>179.5</v>
      </c>
      <c r="L15">
        <v>331.5</v>
      </c>
      <c r="M15">
        <v>95.05</v>
      </c>
      <c r="N15">
        <v>0</v>
      </c>
      <c r="O15">
        <v>319.5</v>
      </c>
      <c r="P15">
        <v>0</v>
      </c>
      <c r="Q15">
        <v>2574</v>
      </c>
      <c r="R15">
        <v>45.3</v>
      </c>
      <c r="S15">
        <v>59.71</v>
      </c>
      <c r="T15">
        <v>541.5</v>
      </c>
      <c r="U15">
        <v>0</v>
      </c>
      <c r="V15">
        <v>65.2</v>
      </c>
      <c r="W15">
        <v>23.33</v>
      </c>
      <c r="X15">
        <v>204.7</v>
      </c>
      <c r="Y15">
        <v>6.4880000000000004</v>
      </c>
      <c r="AA15">
        <v>13</v>
      </c>
      <c r="AB15">
        <v>88.19</v>
      </c>
      <c r="AC15">
        <v>188.7</v>
      </c>
      <c r="AD15">
        <v>375.4</v>
      </c>
      <c r="AE15">
        <v>635.20000000000005</v>
      </c>
      <c r="AF15">
        <v>37.06</v>
      </c>
      <c r="AG15">
        <v>84.92</v>
      </c>
      <c r="AH15">
        <v>460.7</v>
      </c>
      <c r="AI15">
        <v>1712</v>
      </c>
      <c r="AJ15">
        <v>1889</v>
      </c>
      <c r="AK15">
        <v>546.6</v>
      </c>
      <c r="AL15">
        <v>389.8</v>
      </c>
      <c r="AM15">
        <v>255.6</v>
      </c>
      <c r="AN15">
        <v>0</v>
      </c>
      <c r="AO15">
        <v>550.1</v>
      </c>
      <c r="AP15">
        <v>0</v>
      </c>
      <c r="AQ15">
        <v>5490</v>
      </c>
      <c r="AR15">
        <v>92.65</v>
      </c>
      <c r="AS15">
        <v>227.2</v>
      </c>
      <c r="AT15">
        <v>94.71</v>
      </c>
      <c r="AU15">
        <v>0</v>
      </c>
      <c r="AV15">
        <v>70.099999999999994</v>
      </c>
      <c r="AW15">
        <v>-25.4</v>
      </c>
      <c r="AX15">
        <v>222.8</v>
      </c>
      <c r="AY15">
        <v>8.7739999999999991</v>
      </c>
      <c r="BA15">
        <v>12</v>
      </c>
      <c r="BB15">
        <v>0</v>
      </c>
      <c r="BC15">
        <v>0</v>
      </c>
      <c r="BD15">
        <v>0</v>
      </c>
    </row>
    <row r="16" spans="1:56">
      <c r="A16">
        <v>14</v>
      </c>
      <c r="B16">
        <v>159.6</v>
      </c>
      <c r="C16">
        <v>136.6</v>
      </c>
      <c r="D16">
        <v>192.5</v>
      </c>
      <c r="E16">
        <v>330.8</v>
      </c>
      <c r="F16">
        <v>181.9</v>
      </c>
      <c r="G16">
        <v>157.19999999999999</v>
      </c>
      <c r="H16">
        <v>21.28</v>
      </c>
      <c r="I16">
        <v>9.6080000000000005</v>
      </c>
      <c r="J16">
        <v>9.6080000000000005</v>
      </c>
      <c r="K16">
        <v>117.4</v>
      </c>
      <c r="L16">
        <v>71.37</v>
      </c>
      <c r="M16">
        <v>134.9</v>
      </c>
      <c r="N16">
        <v>319.5</v>
      </c>
      <c r="O16">
        <v>0</v>
      </c>
      <c r="P16">
        <v>-157.80000000000001</v>
      </c>
      <c r="Q16">
        <v>603.9</v>
      </c>
      <c r="R16">
        <v>0</v>
      </c>
      <c r="S16">
        <v>0</v>
      </c>
      <c r="T16">
        <v>0</v>
      </c>
      <c r="U16">
        <v>0</v>
      </c>
      <c r="V16">
        <v>145.80000000000001</v>
      </c>
      <c r="W16">
        <v>0</v>
      </c>
      <c r="X16">
        <v>0</v>
      </c>
      <c r="Y16">
        <v>0</v>
      </c>
      <c r="AA16">
        <v>14</v>
      </c>
      <c r="AB16">
        <v>227.8</v>
      </c>
      <c r="AC16">
        <v>124.6</v>
      </c>
      <c r="AD16">
        <v>562.79999999999995</v>
      </c>
      <c r="AE16">
        <v>-297.2</v>
      </c>
      <c r="AF16">
        <v>304</v>
      </c>
      <c r="AG16">
        <v>217.1</v>
      </c>
      <c r="AH16">
        <v>6.1769999999999996</v>
      </c>
      <c r="AI16">
        <v>-36.72</v>
      </c>
      <c r="AJ16">
        <v>-36.72</v>
      </c>
      <c r="AK16">
        <v>166.4</v>
      </c>
      <c r="AL16">
        <v>-127.7</v>
      </c>
      <c r="AM16">
        <v>201.4</v>
      </c>
      <c r="AN16">
        <v>550.1</v>
      </c>
      <c r="AO16">
        <v>0</v>
      </c>
      <c r="AP16">
        <v>153.69999999999999</v>
      </c>
      <c r="AQ16">
        <v>599.1</v>
      </c>
      <c r="AR16">
        <v>0</v>
      </c>
      <c r="AS16">
        <v>0</v>
      </c>
      <c r="AT16">
        <v>0</v>
      </c>
      <c r="AU16">
        <v>0</v>
      </c>
      <c r="AV16">
        <v>823.5</v>
      </c>
      <c r="AW16">
        <v>0</v>
      </c>
      <c r="AX16">
        <v>0</v>
      </c>
      <c r="AY16">
        <v>0</v>
      </c>
      <c r="BA16">
        <v>13</v>
      </c>
      <c r="BB16">
        <v>0</v>
      </c>
      <c r="BC16">
        <v>0</v>
      </c>
      <c r="BD16">
        <v>0</v>
      </c>
    </row>
    <row r="17" spans="1:56">
      <c r="A17">
        <v>15</v>
      </c>
      <c r="B17">
        <v>789.6</v>
      </c>
      <c r="C17">
        <v>439.9</v>
      </c>
      <c r="D17">
        <v>374</v>
      </c>
      <c r="E17">
        <v>685.9</v>
      </c>
      <c r="F17">
        <v>701.7</v>
      </c>
      <c r="G17">
        <v>0</v>
      </c>
      <c r="H17">
        <v>277.60000000000002</v>
      </c>
      <c r="I17">
        <v>1002</v>
      </c>
      <c r="J17">
        <v>1002</v>
      </c>
      <c r="K17">
        <v>493.1</v>
      </c>
      <c r="L17">
        <v>463.2</v>
      </c>
      <c r="M17">
        <v>0</v>
      </c>
      <c r="N17">
        <v>0</v>
      </c>
      <c r="O17">
        <v>-157.80000000000001</v>
      </c>
      <c r="P17">
        <v>0</v>
      </c>
      <c r="Q17">
        <v>30.88</v>
      </c>
      <c r="R17">
        <v>0</v>
      </c>
      <c r="S17">
        <v>0</v>
      </c>
      <c r="T17">
        <v>0</v>
      </c>
      <c r="U17">
        <v>0</v>
      </c>
      <c r="V17">
        <v>0</v>
      </c>
      <c r="W17">
        <v>0</v>
      </c>
      <c r="X17">
        <v>0</v>
      </c>
      <c r="Y17">
        <v>0</v>
      </c>
      <c r="AA17">
        <v>15</v>
      </c>
      <c r="AB17">
        <v>1829</v>
      </c>
      <c r="AC17">
        <v>504.8</v>
      </c>
      <c r="AD17">
        <v>520.9</v>
      </c>
      <c r="AE17">
        <v>1547</v>
      </c>
      <c r="AF17">
        <v>1318</v>
      </c>
      <c r="AG17">
        <v>0</v>
      </c>
      <c r="AH17">
        <v>449.5</v>
      </c>
      <c r="AI17">
        <v>-736.4</v>
      </c>
      <c r="AJ17">
        <v>-736.4</v>
      </c>
      <c r="AK17">
        <v>832.1</v>
      </c>
      <c r="AL17">
        <v>-337.7</v>
      </c>
      <c r="AM17">
        <v>0</v>
      </c>
      <c r="AN17">
        <v>0</v>
      </c>
      <c r="AO17">
        <v>153.69999999999999</v>
      </c>
      <c r="AP17">
        <v>0</v>
      </c>
      <c r="AQ17">
        <v>-113.6</v>
      </c>
      <c r="AR17">
        <v>0</v>
      </c>
      <c r="AS17">
        <v>0</v>
      </c>
      <c r="AT17">
        <v>0</v>
      </c>
      <c r="AU17">
        <v>0</v>
      </c>
      <c r="AV17">
        <v>0</v>
      </c>
      <c r="AW17">
        <v>0</v>
      </c>
      <c r="AX17">
        <v>0</v>
      </c>
      <c r="AY17">
        <v>0</v>
      </c>
      <c r="BA17">
        <v>14</v>
      </c>
      <c r="BB17">
        <v>0</v>
      </c>
      <c r="BC17">
        <v>0</v>
      </c>
      <c r="BD17">
        <v>0</v>
      </c>
    </row>
    <row r="18" spans="1:56">
      <c r="A18">
        <v>16</v>
      </c>
      <c r="B18">
        <v>3557</v>
      </c>
      <c r="C18">
        <v>4324</v>
      </c>
      <c r="D18">
        <v>971.4</v>
      </c>
      <c r="E18">
        <v>0</v>
      </c>
      <c r="F18">
        <v>2265</v>
      </c>
      <c r="G18">
        <v>2333</v>
      </c>
      <c r="H18">
        <v>2268</v>
      </c>
      <c r="I18">
        <v>543.5</v>
      </c>
      <c r="J18">
        <v>1340</v>
      </c>
      <c r="K18">
        <v>4211</v>
      </c>
      <c r="L18">
        <v>244</v>
      </c>
      <c r="M18">
        <v>559.29999999999995</v>
      </c>
      <c r="N18">
        <v>2574</v>
      </c>
      <c r="O18">
        <v>603.9</v>
      </c>
      <c r="P18">
        <v>30.88</v>
      </c>
      <c r="Q18">
        <v>0</v>
      </c>
      <c r="R18">
        <v>1650</v>
      </c>
      <c r="S18">
        <v>2243</v>
      </c>
      <c r="T18">
        <v>0</v>
      </c>
      <c r="U18">
        <v>0</v>
      </c>
      <c r="V18">
        <v>830.8</v>
      </c>
      <c r="W18">
        <v>0</v>
      </c>
      <c r="X18">
        <v>0</v>
      </c>
      <c r="Y18">
        <v>0</v>
      </c>
      <c r="AA18">
        <v>16</v>
      </c>
      <c r="AB18">
        <v>11195</v>
      </c>
      <c r="AC18">
        <v>12126</v>
      </c>
      <c r="AD18">
        <v>567.6</v>
      </c>
      <c r="AE18">
        <v>0</v>
      </c>
      <c r="AF18">
        <v>4722</v>
      </c>
      <c r="AG18">
        <v>5147</v>
      </c>
      <c r="AH18">
        <v>6218</v>
      </c>
      <c r="AI18">
        <v>411.8</v>
      </c>
      <c r="AJ18">
        <v>-65.88</v>
      </c>
      <c r="AK18">
        <v>13031</v>
      </c>
      <c r="AL18">
        <v>-60.39</v>
      </c>
      <c r="AM18">
        <v>277.89999999999998</v>
      </c>
      <c r="AN18">
        <v>5490</v>
      </c>
      <c r="AO18">
        <v>599.1</v>
      </c>
      <c r="AP18">
        <v>-113.6</v>
      </c>
      <c r="AQ18">
        <v>0</v>
      </c>
      <c r="AR18">
        <v>1661</v>
      </c>
      <c r="AS18">
        <v>5199</v>
      </c>
      <c r="AT18">
        <v>0</v>
      </c>
      <c r="AU18">
        <v>0</v>
      </c>
      <c r="AV18">
        <v>-137.9</v>
      </c>
      <c r="AW18">
        <v>0</v>
      </c>
      <c r="AX18">
        <v>0</v>
      </c>
      <c r="AY18">
        <v>0</v>
      </c>
      <c r="BA18">
        <v>15</v>
      </c>
      <c r="BB18">
        <v>0</v>
      </c>
      <c r="BC18">
        <v>0</v>
      </c>
      <c r="BD18">
        <v>0</v>
      </c>
    </row>
    <row r="19" spans="1:56">
      <c r="A19">
        <v>17</v>
      </c>
      <c r="B19">
        <v>7.8920000000000003</v>
      </c>
      <c r="C19">
        <v>59.71</v>
      </c>
      <c r="D19">
        <v>147.9</v>
      </c>
      <c r="E19">
        <v>366.8</v>
      </c>
      <c r="F19">
        <v>19.22</v>
      </c>
      <c r="G19">
        <v>7.5490000000000004</v>
      </c>
      <c r="H19">
        <v>25.74</v>
      </c>
      <c r="I19">
        <v>97.8</v>
      </c>
      <c r="J19">
        <v>209.7</v>
      </c>
      <c r="K19">
        <v>35.340000000000003</v>
      </c>
      <c r="L19">
        <v>297.2</v>
      </c>
      <c r="M19">
        <v>73.09</v>
      </c>
      <c r="N19">
        <v>45.3</v>
      </c>
      <c r="O19">
        <v>0</v>
      </c>
      <c r="P19">
        <v>0</v>
      </c>
      <c r="Q19">
        <v>1650</v>
      </c>
      <c r="R19">
        <v>0</v>
      </c>
      <c r="S19">
        <v>14.76</v>
      </c>
      <c r="T19">
        <v>-518.20000000000005</v>
      </c>
      <c r="U19">
        <v>-98.83</v>
      </c>
      <c r="V19">
        <v>151.30000000000001</v>
      </c>
      <c r="W19">
        <v>84.55</v>
      </c>
      <c r="X19">
        <v>569.6</v>
      </c>
      <c r="Y19">
        <v>0</v>
      </c>
      <c r="AA19">
        <v>17</v>
      </c>
      <c r="AB19">
        <v>35</v>
      </c>
      <c r="AC19">
        <v>82.35</v>
      </c>
      <c r="AD19">
        <v>-55.59</v>
      </c>
      <c r="AE19">
        <v>-219.3</v>
      </c>
      <c r="AF19">
        <v>33.29</v>
      </c>
      <c r="AG19">
        <v>20.93</v>
      </c>
      <c r="AH19">
        <v>78.92</v>
      </c>
      <c r="AI19">
        <v>67.94</v>
      </c>
      <c r="AJ19">
        <v>3819</v>
      </c>
      <c r="AK19">
        <v>52.5</v>
      </c>
      <c r="AL19">
        <v>-647.20000000000005</v>
      </c>
      <c r="AM19">
        <v>106.7</v>
      </c>
      <c r="AN19">
        <v>92.65</v>
      </c>
      <c r="AO19">
        <v>0</v>
      </c>
      <c r="AP19">
        <v>0</v>
      </c>
      <c r="AQ19">
        <v>1661</v>
      </c>
      <c r="AR19">
        <v>0</v>
      </c>
      <c r="AS19">
        <v>11.32</v>
      </c>
      <c r="AT19">
        <v>6815</v>
      </c>
      <c r="AU19">
        <v>1809</v>
      </c>
      <c r="AV19">
        <v>165.1</v>
      </c>
      <c r="AW19">
        <v>-7.5149999999999997</v>
      </c>
      <c r="AX19">
        <v>536.70000000000005</v>
      </c>
      <c r="AY19">
        <v>0</v>
      </c>
      <c r="BA19">
        <v>16</v>
      </c>
      <c r="BB19">
        <v>0</v>
      </c>
      <c r="BC19">
        <v>0</v>
      </c>
      <c r="BD19">
        <v>0</v>
      </c>
    </row>
    <row r="20" spans="1:56">
      <c r="A20">
        <v>18</v>
      </c>
      <c r="B20">
        <v>48.73</v>
      </c>
      <c r="C20">
        <v>9.6080000000000005</v>
      </c>
      <c r="D20">
        <v>84.76</v>
      </c>
      <c r="E20">
        <v>181.2</v>
      </c>
      <c r="F20">
        <v>48.73</v>
      </c>
      <c r="G20">
        <v>26.77</v>
      </c>
      <c r="H20">
        <v>9.9510000000000005</v>
      </c>
      <c r="I20">
        <v>-48.38</v>
      </c>
      <c r="J20">
        <v>669.8</v>
      </c>
      <c r="K20">
        <v>-15.44</v>
      </c>
      <c r="L20">
        <v>260.10000000000002</v>
      </c>
      <c r="M20">
        <v>60.74</v>
      </c>
      <c r="N20">
        <v>59.71</v>
      </c>
      <c r="O20">
        <v>0</v>
      </c>
      <c r="P20">
        <v>0</v>
      </c>
      <c r="Q20">
        <v>2243</v>
      </c>
      <c r="R20">
        <v>14.76</v>
      </c>
      <c r="S20">
        <v>0</v>
      </c>
      <c r="T20">
        <v>24.71</v>
      </c>
      <c r="U20">
        <v>14.07</v>
      </c>
      <c r="V20">
        <v>175.7</v>
      </c>
      <c r="W20">
        <v>0</v>
      </c>
      <c r="X20">
        <v>644.29999999999995</v>
      </c>
      <c r="Y20">
        <v>203</v>
      </c>
      <c r="AA20">
        <v>18</v>
      </c>
      <c r="AB20">
        <v>44.27</v>
      </c>
      <c r="AC20">
        <v>50.79</v>
      </c>
      <c r="AD20">
        <v>193.2</v>
      </c>
      <c r="AE20">
        <v>419</v>
      </c>
      <c r="AF20">
        <v>68.290000000000006</v>
      </c>
      <c r="AG20">
        <v>-5.1470000000000002</v>
      </c>
      <c r="AH20">
        <v>19.899999999999999</v>
      </c>
      <c r="AI20">
        <v>27.79</v>
      </c>
      <c r="AJ20">
        <v>589.5</v>
      </c>
      <c r="AK20">
        <v>24.36</v>
      </c>
      <c r="AL20">
        <v>134.9</v>
      </c>
      <c r="AM20">
        <v>183.9</v>
      </c>
      <c r="AN20">
        <v>227.2</v>
      </c>
      <c r="AO20">
        <v>0</v>
      </c>
      <c r="AP20">
        <v>0</v>
      </c>
      <c r="AQ20">
        <v>5199</v>
      </c>
      <c r="AR20">
        <v>11.32</v>
      </c>
      <c r="AS20">
        <v>0</v>
      </c>
      <c r="AT20">
        <v>121.8</v>
      </c>
      <c r="AU20">
        <v>-12.35</v>
      </c>
      <c r="AV20">
        <v>373</v>
      </c>
      <c r="AW20">
        <v>0</v>
      </c>
      <c r="AX20">
        <v>687.7</v>
      </c>
      <c r="AY20">
        <v>-11.78</v>
      </c>
      <c r="BA20">
        <v>17</v>
      </c>
      <c r="BB20">
        <v>-5.2</v>
      </c>
      <c r="BC20">
        <v>4.9000000000000004</v>
      </c>
      <c r="BD20">
        <v>-0.8</v>
      </c>
    </row>
    <row r="21" spans="1:56">
      <c r="A21">
        <v>19</v>
      </c>
      <c r="B21">
        <v>102.6</v>
      </c>
      <c r="C21">
        <v>64.849999999999994</v>
      </c>
      <c r="D21">
        <v>91.62</v>
      </c>
      <c r="E21">
        <v>0</v>
      </c>
      <c r="F21">
        <v>0</v>
      </c>
      <c r="G21">
        <v>0</v>
      </c>
      <c r="H21">
        <v>-16.47</v>
      </c>
      <c r="I21">
        <v>343.1</v>
      </c>
      <c r="J21">
        <v>0</v>
      </c>
      <c r="K21">
        <v>159.6</v>
      </c>
      <c r="L21">
        <v>0</v>
      </c>
      <c r="M21">
        <v>74.81</v>
      </c>
      <c r="N21">
        <v>541.5</v>
      </c>
      <c r="O21">
        <v>0</v>
      </c>
      <c r="P21">
        <v>0</v>
      </c>
      <c r="Q21">
        <v>0</v>
      </c>
      <c r="R21">
        <v>-518.20000000000005</v>
      </c>
      <c r="S21">
        <v>24.71</v>
      </c>
      <c r="T21">
        <v>0</v>
      </c>
      <c r="U21">
        <v>23.68</v>
      </c>
      <c r="V21">
        <v>621.4</v>
      </c>
      <c r="W21">
        <v>0</v>
      </c>
      <c r="X21">
        <v>0</v>
      </c>
      <c r="Y21">
        <v>0</v>
      </c>
      <c r="AA21">
        <v>19</v>
      </c>
      <c r="AB21">
        <v>260.10000000000002</v>
      </c>
      <c r="AC21">
        <v>51.82</v>
      </c>
      <c r="AD21">
        <v>54.9</v>
      </c>
      <c r="AE21">
        <v>0</v>
      </c>
      <c r="AF21">
        <v>0</v>
      </c>
      <c r="AG21">
        <v>0</v>
      </c>
      <c r="AH21">
        <v>61.42</v>
      </c>
      <c r="AI21">
        <v>880.2</v>
      </c>
      <c r="AJ21">
        <v>0</v>
      </c>
      <c r="AK21">
        <v>140.69999999999999</v>
      </c>
      <c r="AL21">
        <v>0</v>
      </c>
      <c r="AM21">
        <v>-266.60000000000002</v>
      </c>
      <c r="AN21">
        <v>94.71</v>
      </c>
      <c r="AO21">
        <v>0</v>
      </c>
      <c r="AP21">
        <v>0</v>
      </c>
      <c r="AQ21">
        <v>0</v>
      </c>
      <c r="AR21">
        <v>6815</v>
      </c>
      <c r="AS21">
        <v>121.8</v>
      </c>
      <c r="AT21">
        <v>0</v>
      </c>
      <c r="AU21">
        <v>87.5</v>
      </c>
      <c r="AV21">
        <v>873.6</v>
      </c>
      <c r="AW21">
        <v>0</v>
      </c>
      <c r="AX21">
        <v>0</v>
      </c>
      <c r="AY21">
        <v>0</v>
      </c>
      <c r="BA21">
        <v>18</v>
      </c>
      <c r="BB21">
        <v>-17.5</v>
      </c>
      <c r="BC21">
        <v>12.8</v>
      </c>
      <c r="BD21">
        <v>-2.2000000000000002</v>
      </c>
    </row>
    <row r="22" spans="1:56">
      <c r="A22">
        <v>20</v>
      </c>
      <c r="B22">
        <v>47.01</v>
      </c>
      <c r="C22">
        <v>34.31</v>
      </c>
      <c r="D22">
        <v>0</v>
      </c>
      <c r="E22">
        <v>0</v>
      </c>
      <c r="F22">
        <v>0</v>
      </c>
      <c r="G22">
        <v>0</v>
      </c>
      <c r="H22">
        <v>3.7749999999999999</v>
      </c>
      <c r="I22">
        <v>242.9</v>
      </c>
      <c r="J22">
        <v>0</v>
      </c>
      <c r="K22">
        <v>31.91</v>
      </c>
      <c r="L22">
        <v>151.30000000000001</v>
      </c>
      <c r="M22">
        <v>87.85</v>
      </c>
      <c r="N22">
        <v>0</v>
      </c>
      <c r="O22">
        <v>0</v>
      </c>
      <c r="P22">
        <v>0</v>
      </c>
      <c r="Q22">
        <v>0</v>
      </c>
      <c r="R22">
        <v>-98.83</v>
      </c>
      <c r="S22">
        <v>14.07</v>
      </c>
      <c r="T22">
        <v>23.68</v>
      </c>
      <c r="U22">
        <v>0</v>
      </c>
      <c r="V22">
        <v>460.8</v>
      </c>
      <c r="W22">
        <v>0</v>
      </c>
      <c r="X22">
        <v>0</v>
      </c>
      <c r="Y22">
        <v>0</v>
      </c>
      <c r="AA22">
        <v>20</v>
      </c>
      <c r="AB22">
        <v>169.5</v>
      </c>
      <c r="AC22">
        <v>51.13</v>
      </c>
      <c r="AD22">
        <v>0</v>
      </c>
      <c r="AE22">
        <v>0</v>
      </c>
      <c r="AF22">
        <v>0</v>
      </c>
      <c r="AG22">
        <v>0</v>
      </c>
      <c r="AH22">
        <v>1.716</v>
      </c>
      <c r="AI22">
        <v>-7.2060000000000004</v>
      </c>
      <c r="AJ22">
        <v>0</v>
      </c>
      <c r="AK22">
        <v>69.319999999999993</v>
      </c>
      <c r="AL22">
        <v>2.7450000000000001</v>
      </c>
      <c r="AM22">
        <v>66.91</v>
      </c>
      <c r="AN22">
        <v>0</v>
      </c>
      <c r="AO22">
        <v>0</v>
      </c>
      <c r="AP22">
        <v>0</v>
      </c>
      <c r="AQ22">
        <v>0</v>
      </c>
      <c r="AR22">
        <v>1809</v>
      </c>
      <c r="AS22">
        <v>-12.35</v>
      </c>
      <c r="AT22">
        <v>87.5</v>
      </c>
      <c r="AU22">
        <v>0</v>
      </c>
      <c r="AV22">
        <v>2167</v>
      </c>
      <c r="AW22">
        <v>0</v>
      </c>
      <c r="AX22">
        <v>0</v>
      </c>
      <c r="AY22">
        <v>0</v>
      </c>
      <c r="BA22">
        <v>19</v>
      </c>
      <c r="BB22">
        <v>0</v>
      </c>
      <c r="BC22">
        <v>0</v>
      </c>
      <c r="BD22">
        <v>0</v>
      </c>
    </row>
    <row r="23" spans="1:56">
      <c r="A23">
        <v>21</v>
      </c>
      <c r="B23">
        <v>147</v>
      </c>
      <c r="C23">
        <v>155.4</v>
      </c>
      <c r="D23">
        <v>326</v>
      </c>
      <c r="E23">
        <v>548.29999999999995</v>
      </c>
      <c r="F23">
        <v>156.1</v>
      </c>
      <c r="G23">
        <v>137.6</v>
      </c>
      <c r="H23">
        <v>288.89999999999998</v>
      </c>
      <c r="I23">
        <v>400.1</v>
      </c>
      <c r="J23">
        <v>602.9</v>
      </c>
      <c r="K23">
        <v>236.1</v>
      </c>
      <c r="L23">
        <v>-51.82</v>
      </c>
      <c r="M23">
        <v>265.89999999999998</v>
      </c>
      <c r="N23">
        <v>65.2</v>
      </c>
      <c r="O23">
        <v>145.80000000000001</v>
      </c>
      <c r="P23">
        <v>0</v>
      </c>
      <c r="Q23">
        <v>830.8</v>
      </c>
      <c r="R23">
        <v>151.30000000000001</v>
      </c>
      <c r="S23">
        <v>175.7</v>
      </c>
      <c r="T23">
        <v>621.4</v>
      </c>
      <c r="U23">
        <v>460.8</v>
      </c>
      <c r="V23">
        <v>0</v>
      </c>
      <c r="W23">
        <v>73.2</v>
      </c>
      <c r="X23">
        <v>138.69999999999999</v>
      </c>
      <c r="Y23">
        <v>128.19999999999999</v>
      </c>
      <c r="AA23">
        <v>21</v>
      </c>
      <c r="AB23">
        <v>239.5</v>
      </c>
      <c r="AC23">
        <v>240.9</v>
      </c>
      <c r="AD23">
        <v>287.89999999999998</v>
      </c>
      <c r="AE23">
        <v>2343</v>
      </c>
      <c r="AF23">
        <v>92.99</v>
      </c>
      <c r="AG23">
        <v>150</v>
      </c>
      <c r="AH23">
        <v>189.1</v>
      </c>
      <c r="AI23">
        <v>1201</v>
      </c>
      <c r="AJ23">
        <v>1463</v>
      </c>
      <c r="AK23">
        <v>192.5</v>
      </c>
      <c r="AL23">
        <v>34.31</v>
      </c>
      <c r="AM23">
        <v>268.3</v>
      </c>
      <c r="AN23">
        <v>70.099999999999994</v>
      </c>
      <c r="AO23">
        <v>823.5</v>
      </c>
      <c r="AP23">
        <v>0</v>
      </c>
      <c r="AQ23">
        <v>-137.9</v>
      </c>
      <c r="AR23">
        <v>165.1</v>
      </c>
      <c r="AS23">
        <v>373</v>
      </c>
      <c r="AT23">
        <v>873.6</v>
      </c>
      <c r="AU23">
        <v>2167</v>
      </c>
      <c r="AV23">
        <v>0</v>
      </c>
      <c r="AW23">
        <v>73.34</v>
      </c>
      <c r="AX23">
        <v>95.49</v>
      </c>
      <c r="AY23">
        <v>102.9</v>
      </c>
      <c r="BA23">
        <v>20</v>
      </c>
      <c r="BB23">
        <v>0</v>
      </c>
      <c r="BC23">
        <v>0</v>
      </c>
      <c r="BD23">
        <v>0</v>
      </c>
    </row>
    <row r="24" spans="1:56">
      <c r="A24">
        <v>22</v>
      </c>
      <c r="B24">
        <v>91.24</v>
      </c>
      <c r="C24">
        <v>44</v>
      </c>
      <c r="D24">
        <v>0</v>
      </c>
      <c r="E24">
        <v>0</v>
      </c>
      <c r="F24">
        <v>14.43</v>
      </c>
      <c r="G24">
        <v>15.42</v>
      </c>
      <c r="H24">
        <v>153.4</v>
      </c>
      <c r="I24">
        <v>125.77</v>
      </c>
      <c r="J24">
        <v>197</v>
      </c>
      <c r="K24">
        <v>113.1</v>
      </c>
      <c r="L24">
        <v>0</v>
      </c>
      <c r="M24">
        <v>106.4</v>
      </c>
      <c r="N24">
        <v>23.33</v>
      </c>
      <c r="O24">
        <v>0</v>
      </c>
      <c r="P24">
        <v>0</v>
      </c>
      <c r="Q24">
        <v>0</v>
      </c>
      <c r="R24">
        <v>84.55</v>
      </c>
      <c r="S24">
        <v>0</v>
      </c>
      <c r="T24">
        <v>0</v>
      </c>
      <c r="U24">
        <v>0</v>
      </c>
      <c r="V24">
        <v>73.2</v>
      </c>
      <c r="W24">
        <v>0</v>
      </c>
      <c r="X24">
        <v>260.10000000000002</v>
      </c>
      <c r="Y24">
        <v>4.0419999999999998</v>
      </c>
      <c r="AA24">
        <v>22</v>
      </c>
      <c r="AB24">
        <v>94.24</v>
      </c>
      <c r="AC24">
        <v>45.55</v>
      </c>
      <c r="AD24">
        <v>0</v>
      </c>
      <c r="AE24">
        <v>0</v>
      </c>
      <c r="AF24">
        <v>20.92</v>
      </c>
      <c r="AG24">
        <v>33.299999999999997</v>
      </c>
      <c r="AH24">
        <v>153.4</v>
      </c>
      <c r="AI24">
        <v>-231.1</v>
      </c>
      <c r="AJ24">
        <v>-238.8</v>
      </c>
      <c r="AK24">
        <v>143.6</v>
      </c>
      <c r="AL24">
        <v>0</v>
      </c>
      <c r="AM24">
        <v>158.9</v>
      </c>
      <c r="AN24">
        <v>-25.4</v>
      </c>
      <c r="AO24">
        <v>0</v>
      </c>
      <c r="AP24">
        <v>0</v>
      </c>
      <c r="AQ24">
        <v>0</v>
      </c>
      <c r="AR24">
        <v>-7.5149999999999997</v>
      </c>
      <c r="AS24">
        <v>0</v>
      </c>
      <c r="AT24">
        <v>0</v>
      </c>
      <c r="AU24">
        <v>0</v>
      </c>
      <c r="AV24">
        <v>73.34</v>
      </c>
      <c r="AW24">
        <v>0</v>
      </c>
      <c r="AX24">
        <v>259.89999999999998</v>
      </c>
      <c r="AY24">
        <v>8.18</v>
      </c>
      <c r="BA24">
        <v>21</v>
      </c>
      <c r="BB24">
        <v>0</v>
      </c>
      <c r="BC24">
        <v>0</v>
      </c>
      <c r="BD24">
        <v>0</v>
      </c>
    </row>
    <row r="25" spans="1:56">
      <c r="A25">
        <v>23</v>
      </c>
      <c r="B25">
        <v>416.3</v>
      </c>
      <c r="C25">
        <v>520.52</v>
      </c>
      <c r="D25">
        <v>728.1</v>
      </c>
      <c r="E25">
        <v>0</v>
      </c>
      <c r="F25">
        <v>394.5</v>
      </c>
      <c r="G25">
        <v>581.29999999999995</v>
      </c>
      <c r="H25">
        <v>753.6</v>
      </c>
      <c r="I25">
        <v>753.6</v>
      </c>
      <c r="J25">
        <v>753.6</v>
      </c>
      <c r="K25">
        <v>0</v>
      </c>
      <c r="L25">
        <v>0</v>
      </c>
      <c r="M25">
        <v>685.9</v>
      </c>
      <c r="N25">
        <v>204.7</v>
      </c>
      <c r="O25">
        <v>0</v>
      </c>
      <c r="P25">
        <v>0</v>
      </c>
      <c r="Q25">
        <v>0</v>
      </c>
      <c r="R25">
        <v>569.6</v>
      </c>
      <c r="S25">
        <v>644.29999999999995</v>
      </c>
      <c r="T25">
        <v>0</v>
      </c>
      <c r="U25">
        <v>0</v>
      </c>
      <c r="V25">
        <v>138.69999999999999</v>
      </c>
      <c r="W25">
        <v>260.10000000000002</v>
      </c>
      <c r="X25">
        <v>0</v>
      </c>
      <c r="Y25">
        <v>243.1</v>
      </c>
      <c r="AA25">
        <v>23</v>
      </c>
      <c r="AB25">
        <v>513.4</v>
      </c>
      <c r="AC25">
        <v>673.22</v>
      </c>
      <c r="AD25">
        <v>750.9</v>
      </c>
      <c r="AE25">
        <v>0</v>
      </c>
      <c r="AF25">
        <v>378.1</v>
      </c>
      <c r="AG25">
        <v>517.1</v>
      </c>
      <c r="AH25">
        <v>590.5</v>
      </c>
      <c r="AI25">
        <v>590.5</v>
      </c>
      <c r="AJ25">
        <v>590.5</v>
      </c>
      <c r="AK25">
        <v>0</v>
      </c>
      <c r="AL25">
        <v>0</v>
      </c>
      <c r="AM25">
        <v>559.29999999999995</v>
      </c>
      <c r="AN25">
        <v>222.8</v>
      </c>
      <c r="AO25">
        <v>0</v>
      </c>
      <c r="AP25">
        <v>0</v>
      </c>
      <c r="AQ25">
        <v>0</v>
      </c>
      <c r="AR25">
        <v>536.70000000000005</v>
      </c>
      <c r="AS25">
        <v>687.7</v>
      </c>
      <c r="AT25">
        <v>0</v>
      </c>
      <c r="AU25">
        <v>0</v>
      </c>
      <c r="AV25">
        <v>95.49</v>
      </c>
      <c r="AW25">
        <v>259.89999999999998</v>
      </c>
      <c r="AX25">
        <v>0</v>
      </c>
      <c r="AY25">
        <v>305.60000000000002</v>
      </c>
      <c r="BA25">
        <v>22</v>
      </c>
      <c r="BB25">
        <v>0</v>
      </c>
      <c r="BC25">
        <v>0</v>
      </c>
      <c r="BD25">
        <v>0</v>
      </c>
    </row>
    <row r="26" spans="1:56">
      <c r="A26">
        <v>24</v>
      </c>
      <c r="B26">
        <v>11.27</v>
      </c>
      <c r="C26">
        <v>113.6</v>
      </c>
      <c r="D26">
        <v>185.8</v>
      </c>
      <c r="E26">
        <v>899</v>
      </c>
      <c r="F26">
        <v>15.97</v>
      </c>
      <c r="G26">
        <v>43.81</v>
      </c>
      <c r="H26">
        <v>195.6</v>
      </c>
      <c r="I26">
        <v>0</v>
      </c>
      <c r="J26">
        <v>0</v>
      </c>
      <c r="K26">
        <v>1269</v>
      </c>
      <c r="L26">
        <v>0</v>
      </c>
      <c r="M26">
        <v>179.5</v>
      </c>
      <c r="N26">
        <v>6.4880000000000004</v>
      </c>
      <c r="O26">
        <v>0</v>
      </c>
      <c r="P26">
        <v>0</v>
      </c>
      <c r="Q26">
        <v>0</v>
      </c>
      <c r="R26">
        <v>0</v>
      </c>
      <c r="S26">
        <v>203</v>
      </c>
      <c r="T26">
        <v>0</v>
      </c>
      <c r="U26">
        <v>0</v>
      </c>
      <c r="V26">
        <v>128.19999999999999</v>
      </c>
      <c r="W26">
        <v>4.0419999999999998</v>
      </c>
      <c r="X26">
        <v>243.1</v>
      </c>
      <c r="Y26">
        <v>0</v>
      </c>
      <c r="AA26">
        <v>24</v>
      </c>
      <c r="AB26">
        <v>55.48</v>
      </c>
      <c r="AC26">
        <v>231.6</v>
      </c>
      <c r="AD26">
        <v>634.20000000000005</v>
      </c>
      <c r="AE26">
        <v>4655</v>
      </c>
      <c r="AF26">
        <v>24.48</v>
      </c>
      <c r="AG26">
        <v>53.1</v>
      </c>
      <c r="AH26">
        <v>361.3</v>
      </c>
      <c r="AI26">
        <v>0</v>
      </c>
      <c r="AJ26">
        <v>0</v>
      </c>
      <c r="AK26">
        <v>18666</v>
      </c>
      <c r="AL26">
        <v>0</v>
      </c>
      <c r="AM26">
        <v>-1.6120000000000001</v>
      </c>
      <c r="AN26">
        <v>8.7739999999999991</v>
      </c>
      <c r="AO26">
        <v>0</v>
      </c>
      <c r="AP26">
        <v>0</v>
      </c>
      <c r="AQ26">
        <v>0</v>
      </c>
      <c r="AR26">
        <v>0</v>
      </c>
      <c r="AS26">
        <v>-11.78</v>
      </c>
      <c r="AT26">
        <v>0</v>
      </c>
      <c r="AU26">
        <v>0</v>
      </c>
      <c r="AV26">
        <v>102.9</v>
      </c>
      <c r="AW26">
        <v>8.18</v>
      </c>
      <c r="AX26">
        <v>305.60000000000002</v>
      </c>
      <c r="AY26">
        <v>0</v>
      </c>
      <c r="BA26">
        <v>23</v>
      </c>
      <c r="BB26">
        <v>0</v>
      </c>
      <c r="BC26">
        <v>0</v>
      </c>
      <c r="BD26">
        <v>0</v>
      </c>
    </row>
    <row r="27" spans="1:56">
      <c r="BA27">
        <v>24</v>
      </c>
      <c r="BB27">
        <v>0</v>
      </c>
      <c r="BC27">
        <v>0</v>
      </c>
      <c r="BD27">
        <v>0</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
  <sheetViews>
    <sheetView workbookViewId="0">
      <selection activeCell="J29" sqref="J29"/>
    </sheetView>
  </sheetViews>
  <sheetFormatPr defaultColWidth="11.19921875" defaultRowHeight="15.6"/>
  <sheetData/>
  <pageMargins left="0.7" right="0.7" top="0.75" bottom="0.75" header="0.3" footer="0.3"/>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67</vt:i4>
      </vt:variant>
    </vt:vector>
  </HeadingPairs>
  <TitlesOfParts>
    <vt:vector size="80" baseType="lpstr">
      <vt:lpstr>Settings</vt:lpstr>
      <vt:lpstr>Wilson</vt:lpstr>
      <vt:lpstr>Wilson BPDP</vt:lpstr>
      <vt:lpstr>PREOS(bP-dP)</vt:lpstr>
      <vt:lpstr>CASE 1 - EB</vt:lpstr>
      <vt:lpstr>CASE 2 - EB</vt:lpstr>
      <vt:lpstr>Case 3 - EB</vt:lpstr>
      <vt:lpstr>Peng Robinson</vt:lpstr>
      <vt:lpstr>BIP Calc</vt:lpstr>
      <vt:lpstr>BIP Values</vt:lpstr>
      <vt:lpstr>BIP Values Set</vt:lpstr>
      <vt:lpstr>BIP Constants</vt:lpstr>
      <vt:lpstr>Appendix</vt:lpstr>
      <vt:lpstr>A_BIPC</vt:lpstr>
      <vt:lpstr>a_iVal</vt:lpstr>
      <vt:lpstr>a_iVal2</vt:lpstr>
      <vt:lpstr>a_iVal3</vt:lpstr>
      <vt:lpstr>alphaVal</vt:lpstr>
      <vt:lpstr>AlphaVal2</vt:lpstr>
      <vt:lpstr>aT</vt:lpstr>
      <vt:lpstr>aTVal</vt:lpstr>
      <vt:lpstr>B_BIPC</vt:lpstr>
      <vt:lpstr>b_iVal</vt:lpstr>
      <vt:lpstr>b_iVal2</vt:lpstr>
      <vt:lpstr>b_iVal3</vt:lpstr>
      <vt:lpstr>BIPset</vt:lpstr>
      <vt:lpstr>C_BIPC</vt:lpstr>
      <vt:lpstr>Chem2</vt:lpstr>
      <vt:lpstr>Chem3</vt:lpstr>
      <vt:lpstr>Chemicals</vt:lpstr>
      <vt:lpstr>D_BIPC</vt:lpstr>
      <vt:lpstr>E_BIPC</vt:lpstr>
      <vt:lpstr>Kij_Val</vt:lpstr>
      <vt:lpstr>MF_iVal</vt:lpstr>
      <vt:lpstr>x_iter1</vt:lpstr>
      <vt:lpstr>x_iter2</vt:lpstr>
      <vt:lpstr>x_iter3</vt:lpstr>
      <vt:lpstr>x_iter4</vt:lpstr>
      <vt:lpstr>x_iter5</vt:lpstr>
      <vt:lpstr>x_iter6</vt:lpstr>
      <vt:lpstr>x_iter7</vt:lpstr>
      <vt:lpstr>x_iter8</vt:lpstr>
      <vt:lpstr>x_iVal</vt:lpstr>
      <vt:lpstr>x_iVal10</vt:lpstr>
      <vt:lpstr>x_iVal11</vt:lpstr>
      <vt:lpstr>x_iVal2</vt:lpstr>
      <vt:lpstr>x_iVal3</vt:lpstr>
      <vt:lpstr>x_iVal4</vt:lpstr>
      <vt:lpstr>x_iVal5</vt:lpstr>
      <vt:lpstr>x_iVal6</vt:lpstr>
      <vt:lpstr>x_iVal7</vt:lpstr>
      <vt:lpstr>x_iVal8</vt:lpstr>
      <vt:lpstr>x_iVal9</vt:lpstr>
      <vt:lpstr>y_iter1</vt:lpstr>
      <vt:lpstr>y_iter2</vt:lpstr>
      <vt:lpstr>y_iter3</vt:lpstr>
      <vt:lpstr>y_iter4</vt:lpstr>
      <vt:lpstr>y_iter5</vt:lpstr>
      <vt:lpstr>y_iter6</vt:lpstr>
      <vt:lpstr>y_iter7</vt:lpstr>
      <vt:lpstr>y_iter8</vt:lpstr>
      <vt:lpstr>y_iVal</vt:lpstr>
      <vt:lpstr>y_iVal10</vt:lpstr>
      <vt:lpstr>y_iVal11</vt:lpstr>
      <vt:lpstr>y_iVal12</vt:lpstr>
      <vt:lpstr>y_iVal13</vt:lpstr>
      <vt:lpstr>y_iVal14</vt:lpstr>
      <vt:lpstr>y_iVal15</vt:lpstr>
      <vt:lpstr>y_iVal16</vt:lpstr>
      <vt:lpstr>y_iVal17</vt:lpstr>
      <vt:lpstr>y_iVal18</vt:lpstr>
      <vt:lpstr>y_iVal2</vt:lpstr>
      <vt:lpstr>y_iVal3</vt:lpstr>
      <vt:lpstr>y_iVal4</vt:lpstr>
      <vt:lpstr>y_iVal5</vt:lpstr>
      <vt:lpstr>y_iVal6</vt:lpstr>
      <vt:lpstr>y_iVal7</vt:lpstr>
      <vt:lpstr>y_iVal8</vt:lpstr>
      <vt:lpstr>y_iVal9</vt:lpstr>
      <vt:lpstr>y_iValDP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Stephen</cp:lastModifiedBy>
  <cp:revision/>
  <dcterms:created xsi:type="dcterms:W3CDTF">2017-10-25T23:09:19Z</dcterms:created>
  <dcterms:modified xsi:type="dcterms:W3CDTF">2022-04-02T21:50:44Z</dcterms:modified>
  <cp:category/>
  <cp:contentStatus/>
</cp:coreProperties>
</file>